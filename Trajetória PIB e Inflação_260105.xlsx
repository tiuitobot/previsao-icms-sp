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cuments\Sefaz\Previsao\260105\"/>
    </mc:Choice>
  </mc:AlternateContent>
  <xr:revisionPtr revIDLastSave="0" documentId="13_ncr:1_{E14BFBA5-1DCB-4136-BE3F-8E4ADE2BA86C}" xr6:coauthVersionLast="47" xr6:coauthVersionMax="47" xr10:uidLastSave="{00000000-0000-0000-0000-000000000000}"/>
  <bookViews>
    <workbookView xWindow="9615" yWindow="240" windowWidth="19170" windowHeight="20505" xr2:uid="{00000000-000D-0000-FFFF-FFFF00000000}"/>
  </bookViews>
  <sheets>
    <sheet name="Resumo" sheetId="2" r:id="rId1"/>
    <sheet name="PIB" sheetId="5" r:id="rId2"/>
    <sheet name="IGP-DI" sheetId="3" r:id="rId3"/>
    <sheet name="Procedimentos" sheetId="4" r:id="rId4"/>
  </sheets>
  <definedNames>
    <definedName name="solver_adj" localSheetId="2" hidden="1">'IGP-DI'!$H$49</definedName>
    <definedName name="solver_adj" localSheetId="1" hidden="1">PIB!$H$19,PIB!$I$19,PIB!$J$19,PIB!$K$19,PIB!$L$19,PIB!$M$19,PIB!$N$19</definedName>
    <definedName name="solver_cvg" localSheetId="2" hidden="1">0.0001</definedName>
    <definedName name="solver_cvg" localSheetId="1" hidden="1">0.0001</definedName>
    <definedName name="solver_drv" localSheetId="2" hidden="1">1</definedName>
    <definedName name="solver_drv" localSheetId="1" hidden="1">2</definedName>
    <definedName name="solver_eng" localSheetId="2" hidden="1">1</definedName>
    <definedName name="solver_eng" localSheetId="1" hidden="1">2</definedName>
    <definedName name="solver_est" localSheetId="2" hidden="1">1</definedName>
    <definedName name="solver_est" localSheetId="1" hidden="1">1</definedName>
    <definedName name="solver_itr" localSheetId="2" hidden="1">2147483647</definedName>
    <definedName name="solver_itr" localSheetId="1" hidden="1">2147483647</definedName>
    <definedName name="solver_lhs1" localSheetId="1" hidden="1">PIB!$O$19</definedName>
    <definedName name="solver_mip" localSheetId="2" hidden="1">2147483647</definedName>
    <definedName name="solver_mip" localSheetId="1" hidden="1">2147483647</definedName>
    <definedName name="solver_mni" localSheetId="2" hidden="1">30</definedName>
    <definedName name="solver_mni" localSheetId="1" hidden="1">30</definedName>
    <definedName name="solver_mrt" localSheetId="2" hidden="1">0.075</definedName>
    <definedName name="solver_mrt" localSheetId="1" hidden="1">0.075</definedName>
    <definedName name="solver_msl" localSheetId="2" hidden="1">2</definedName>
    <definedName name="solver_msl" localSheetId="1" hidden="1">2</definedName>
    <definedName name="solver_neg" localSheetId="2" hidden="1">1</definedName>
    <definedName name="solver_neg" localSheetId="1" hidden="1">1</definedName>
    <definedName name="solver_nod" localSheetId="2" hidden="1">2147483647</definedName>
    <definedName name="solver_nod" localSheetId="1" hidden="1">2147483647</definedName>
    <definedName name="solver_num" localSheetId="2" hidden="1">0</definedName>
    <definedName name="solver_num" localSheetId="1" hidden="1">1</definedName>
    <definedName name="solver_nwt" localSheetId="2" hidden="1">1</definedName>
    <definedName name="solver_nwt" localSheetId="1" hidden="1">1</definedName>
    <definedName name="solver_opt" localSheetId="2" hidden="1">'IGP-DI'!$H$50</definedName>
    <definedName name="solver_opt" localSheetId="1" hidden="1">PIB!$G$16</definedName>
    <definedName name="solver_pre" localSheetId="2" hidden="1">0.000001</definedName>
    <definedName name="solver_pre" localSheetId="1" hidden="1">0.000001</definedName>
    <definedName name="solver_rbv" localSheetId="2" hidden="1">1</definedName>
    <definedName name="solver_rbv" localSheetId="1" hidden="1">2</definedName>
    <definedName name="solver_rel1" localSheetId="1" hidden="1">2</definedName>
    <definedName name="solver_rhs1" localSheetId="1" hidden="1">PIB!$H$14</definedName>
    <definedName name="solver_rlx" localSheetId="2" hidden="1">2</definedName>
    <definedName name="solver_rlx" localSheetId="1" hidden="1">2</definedName>
    <definedName name="solver_rsd" localSheetId="2" hidden="1">0</definedName>
    <definedName name="solver_rsd" localSheetId="1" hidden="1">0</definedName>
    <definedName name="solver_scl" localSheetId="2" hidden="1">1</definedName>
    <definedName name="solver_scl" localSheetId="1" hidden="1">2</definedName>
    <definedName name="solver_sho" localSheetId="2" hidden="1">2</definedName>
    <definedName name="solver_sho" localSheetId="1" hidden="1">2</definedName>
    <definedName name="solver_ssz" localSheetId="2" hidden="1">100</definedName>
    <definedName name="solver_ssz" localSheetId="1" hidden="1">100</definedName>
    <definedName name="solver_tim" localSheetId="2" hidden="1">2147483647</definedName>
    <definedName name="solver_tim" localSheetId="1" hidden="1">2147483647</definedName>
    <definedName name="solver_tol" localSheetId="2" hidden="1">0.01</definedName>
    <definedName name="solver_tol" localSheetId="1" hidden="1">0.01</definedName>
    <definedName name="solver_typ" localSheetId="2" hidden="1">3</definedName>
    <definedName name="solver_typ" localSheetId="1" hidden="1">2</definedName>
    <definedName name="solver_val" localSheetId="2" hidden="1">0</definedName>
    <definedName name="solver_val" localSheetId="1" hidden="1">0</definedName>
    <definedName name="solver_ver" localSheetId="2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5" l="1"/>
  <c r="F15" i="5"/>
  <c r="E15" i="5"/>
  <c r="E30" i="5"/>
  <c r="E29" i="5" s="1"/>
  <c r="D30" i="5"/>
  <c r="D29" i="5"/>
  <c r="C253" i="2"/>
  <c r="H29" i="5"/>
  <c r="C29" i="5"/>
  <c r="C30" i="5"/>
  <c r="C254" i="2"/>
  <c r="C255" i="2"/>
  <c r="C256" i="2"/>
  <c r="C257" i="2"/>
  <c r="C258" i="2"/>
  <c r="C259" i="2"/>
  <c r="C260" i="2"/>
  <c r="C261" i="2"/>
  <c r="C262" i="2"/>
  <c r="C263" i="2"/>
  <c r="C264" i="2"/>
  <c r="B52" i="3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51" i="3"/>
  <c r="G62" i="3"/>
  <c r="B50" i="3"/>
  <c r="G50" i="3"/>
  <c r="E50" i="3"/>
  <c r="P48" i="3"/>
  <c r="H51" i="3"/>
  <c r="H50" i="3"/>
  <c r="D38" i="3"/>
  <c r="O19" i="5"/>
  <c r="P19" i="5" s="1"/>
  <c r="M21" i="5"/>
  <c r="C269" i="2"/>
  <c r="D250" i="2" l="1"/>
  <c r="N250" i="2" l="1"/>
  <c r="C270" i="2" l="1"/>
  <c r="N249" i="2"/>
  <c r="N248" i="2"/>
  <c r="N247" i="2" l="1"/>
  <c r="B270" i="2"/>
  <c r="N246" i="2"/>
  <c r="N245" i="2" l="1"/>
  <c r="B269" i="2"/>
  <c r="N244" i="2" l="1"/>
  <c r="N243" i="2"/>
  <c r="N24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" i="2"/>
  <c r="C268" i="2"/>
  <c r="E49" i="5" l="1"/>
  <c r="L21" i="5"/>
  <c r="M40" i="3"/>
  <c r="L40" i="3" s="1"/>
  <c r="M41" i="3"/>
  <c r="M42" i="3"/>
  <c r="M43" i="3"/>
  <c r="M44" i="3"/>
  <c r="M45" i="3"/>
  <c r="M46" i="3"/>
  <c r="M47" i="3"/>
  <c r="M48" i="3"/>
  <c r="M49" i="3"/>
  <c r="M50" i="3"/>
  <c r="M51" i="3"/>
  <c r="K21" i="5"/>
  <c r="I21" i="5"/>
  <c r="B268" i="2"/>
  <c r="C15" i="5"/>
  <c r="C14" i="5" s="1"/>
  <c r="J21" i="5"/>
  <c r="C21" i="5"/>
  <c r="C8" i="5"/>
  <c r="C10" i="5"/>
  <c r="D15" i="5"/>
  <c r="D14" i="5" s="1"/>
  <c r="E35" i="3"/>
  <c r="D10" i="5"/>
  <c r="E10" i="5"/>
  <c r="F10" i="5"/>
  <c r="G10" i="5"/>
  <c r="H10" i="5"/>
  <c r="I10" i="5"/>
  <c r="J10" i="5"/>
  <c r="K10" i="5"/>
  <c r="L10" i="5"/>
  <c r="M10" i="5"/>
  <c r="N10" i="5"/>
  <c r="I52" i="5" l="1"/>
  <c r="I54" i="5" s="1"/>
  <c r="J52" i="5"/>
  <c r="J54" i="5" s="1"/>
  <c r="K52" i="5"/>
  <c r="K54" i="5" s="1"/>
  <c r="L41" i="3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J237" i="2"/>
  <c r="I237" i="2"/>
  <c r="C35" i="5" l="1"/>
  <c r="C49" i="5"/>
  <c r="K237" i="2"/>
  <c r="E237" i="2" s="1"/>
  <c r="K236" i="2"/>
  <c r="D52" i="5" l="1"/>
  <c r="D54" i="5" s="1"/>
  <c r="C52" i="5"/>
  <c r="E52" i="5"/>
  <c r="E54" i="5" s="1"/>
  <c r="E34" i="3"/>
  <c r="K156" i="2"/>
  <c r="E156" i="2" s="1"/>
  <c r="K155" i="2"/>
  <c r="E155" i="2" s="1"/>
  <c r="K154" i="2"/>
  <c r="E154" i="2" s="1"/>
  <c r="K153" i="2"/>
  <c r="E153" i="2" s="1"/>
  <c r="K152" i="2"/>
  <c r="E152" i="2" s="1"/>
  <c r="K151" i="2"/>
  <c r="E151" i="2" s="1"/>
  <c r="K150" i="2"/>
  <c r="K149" i="2"/>
  <c r="E149" i="2" s="1"/>
  <c r="K148" i="2"/>
  <c r="E148" i="2" s="1"/>
  <c r="K147" i="2"/>
  <c r="E147" i="2" s="1"/>
  <c r="K146" i="2"/>
  <c r="K145" i="2"/>
  <c r="E145" i="2" s="1"/>
  <c r="K144" i="2"/>
  <c r="E144" i="2" s="1"/>
  <c r="K143" i="2"/>
  <c r="E143" i="2" s="1"/>
  <c r="K142" i="2"/>
  <c r="E142" i="2" s="1"/>
  <c r="K141" i="2"/>
  <c r="E141" i="2" s="1"/>
  <c r="K140" i="2"/>
  <c r="E140" i="2" s="1"/>
  <c r="K139" i="2"/>
  <c r="E139" i="2" s="1"/>
  <c r="K138" i="2"/>
  <c r="K137" i="2"/>
  <c r="E137" i="2" s="1"/>
  <c r="K136" i="2"/>
  <c r="E136" i="2" s="1"/>
  <c r="K135" i="2"/>
  <c r="E135" i="2" s="1"/>
  <c r="K134" i="2"/>
  <c r="E134" i="2" s="1"/>
  <c r="K133" i="2"/>
  <c r="E133" i="2" s="1"/>
  <c r="K132" i="2"/>
  <c r="E132" i="2" s="1"/>
  <c r="K131" i="2"/>
  <c r="E131" i="2" s="1"/>
  <c r="K130" i="2"/>
  <c r="E130" i="2" s="1"/>
  <c r="K129" i="2"/>
  <c r="E129" i="2" s="1"/>
  <c r="K128" i="2"/>
  <c r="E128" i="2" s="1"/>
  <c r="K127" i="2"/>
  <c r="K126" i="2"/>
  <c r="K125" i="2"/>
  <c r="E125" i="2" s="1"/>
  <c r="K124" i="2"/>
  <c r="E124" i="2" s="1"/>
  <c r="K123" i="2"/>
  <c r="E123" i="2" s="1"/>
  <c r="K122" i="2"/>
  <c r="E122" i="2" s="1"/>
  <c r="K121" i="2"/>
  <c r="E121" i="2" s="1"/>
  <c r="K120" i="2"/>
  <c r="E120" i="2" s="1"/>
  <c r="K119" i="2"/>
  <c r="E119" i="2" s="1"/>
  <c r="K118" i="2"/>
  <c r="E118" i="2" s="1"/>
  <c r="K117" i="2"/>
  <c r="E117" i="2" s="1"/>
  <c r="K116" i="2"/>
  <c r="E116" i="2" s="1"/>
  <c r="K115" i="2"/>
  <c r="E115" i="2" s="1"/>
  <c r="K114" i="2"/>
  <c r="K113" i="2"/>
  <c r="E113" i="2" s="1"/>
  <c r="K112" i="2"/>
  <c r="E112" i="2" s="1"/>
  <c r="K111" i="2"/>
  <c r="K110" i="2"/>
  <c r="E110" i="2" s="1"/>
  <c r="K109" i="2"/>
  <c r="E109" i="2" s="1"/>
  <c r="K108" i="2"/>
  <c r="E108" i="2" s="1"/>
  <c r="K107" i="2"/>
  <c r="K106" i="2"/>
  <c r="E106" i="2" s="1"/>
  <c r="K105" i="2"/>
  <c r="E105" i="2" s="1"/>
  <c r="K104" i="2"/>
  <c r="E104" i="2" s="1"/>
  <c r="K103" i="2"/>
  <c r="E103" i="2" s="1"/>
  <c r="K102" i="2"/>
  <c r="K101" i="2"/>
  <c r="E101" i="2" s="1"/>
  <c r="K100" i="2"/>
  <c r="E100" i="2" s="1"/>
  <c r="K99" i="2"/>
  <c r="E99" i="2" s="1"/>
  <c r="K98" i="2"/>
  <c r="K97" i="2"/>
  <c r="E97" i="2" s="1"/>
  <c r="K96" i="2"/>
  <c r="E96" i="2" s="1"/>
  <c r="K95" i="2"/>
  <c r="K94" i="2"/>
  <c r="E94" i="2" s="1"/>
  <c r="K93" i="2"/>
  <c r="E93" i="2" s="1"/>
  <c r="K92" i="2"/>
  <c r="E92" i="2" s="1"/>
  <c r="K91" i="2"/>
  <c r="E91" i="2" s="1"/>
  <c r="K90" i="2"/>
  <c r="E90" i="2" s="1"/>
  <c r="K89" i="2"/>
  <c r="E89" i="2" s="1"/>
  <c r="K88" i="2"/>
  <c r="E88" i="2" s="1"/>
  <c r="K87" i="2"/>
  <c r="K86" i="2"/>
  <c r="E86" i="2" s="1"/>
  <c r="K85" i="2"/>
  <c r="E85" i="2" s="1"/>
  <c r="K84" i="2"/>
  <c r="E84" i="2" s="1"/>
  <c r="K83" i="2"/>
  <c r="E83" i="2" s="1"/>
  <c r="K82" i="2"/>
  <c r="K81" i="2"/>
  <c r="K80" i="2"/>
  <c r="E80" i="2" s="1"/>
  <c r="K79" i="2"/>
  <c r="E79" i="2" s="1"/>
  <c r="K78" i="2"/>
  <c r="E78" i="2" s="1"/>
  <c r="K77" i="2"/>
  <c r="E77" i="2" s="1"/>
  <c r="K76" i="2"/>
  <c r="E76" i="2" s="1"/>
  <c r="K75" i="2"/>
  <c r="E75" i="2" s="1"/>
  <c r="K74" i="2"/>
  <c r="K73" i="2"/>
  <c r="E73" i="2" s="1"/>
  <c r="K72" i="2"/>
  <c r="E72" i="2" s="1"/>
  <c r="K71" i="2"/>
  <c r="E71" i="2" s="1"/>
  <c r="K70" i="2"/>
  <c r="E70" i="2" s="1"/>
  <c r="K69" i="2"/>
  <c r="E69" i="2" s="1"/>
  <c r="K68" i="2"/>
  <c r="E68" i="2" s="1"/>
  <c r="K67" i="2"/>
  <c r="E67" i="2" s="1"/>
  <c r="K66" i="2"/>
  <c r="E66" i="2" s="1"/>
  <c r="K65" i="2"/>
  <c r="E65" i="2" s="1"/>
  <c r="K64" i="2"/>
  <c r="E64" i="2" s="1"/>
  <c r="K63" i="2"/>
  <c r="E63" i="2" s="1"/>
  <c r="K62" i="2"/>
  <c r="E62" i="2" s="1"/>
  <c r="K61" i="2"/>
  <c r="E61" i="2" s="1"/>
  <c r="K60" i="2"/>
  <c r="E60" i="2" s="1"/>
  <c r="K59" i="2"/>
  <c r="E59" i="2" s="1"/>
  <c r="K58" i="2"/>
  <c r="K57" i="2"/>
  <c r="E57" i="2" s="1"/>
  <c r="K56" i="2"/>
  <c r="E56" i="2" s="1"/>
  <c r="K55" i="2"/>
  <c r="E55" i="2" s="1"/>
  <c r="K54" i="2"/>
  <c r="E54" i="2" s="1"/>
  <c r="K53" i="2"/>
  <c r="E53" i="2" s="1"/>
  <c r="K52" i="2"/>
  <c r="E52" i="2" s="1"/>
  <c r="K51" i="2"/>
  <c r="E51" i="2" s="1"/>
  <c r="K50" i="2"/>
  <c r="K49" i="2"/>
  <c r="E49" i="2" s="1"/>
  <c r="K48" i="2"/>
  <c r="E48" i="2" s="1"/>
  <c r="K47" i="2"/>
  <c r="E47" i="2" s="1"/>
  <c r="K46" i="2"/>
  <c r="E46" i="2" s="1"/>
  <c r="K45" i="2"/>
  <c r="E45" i="2" s="1"/>
  <c r="K44" i="2"/>
  <c r="E44" i="2" s="1"/>
  <c r="K43" i="2"/>
  <c r="E43" i="2" s="1"/>
  <c r="K42" i="2"/>
  <c r="K41" i="2"/>
  <c r="E41" i="2" s="1"/>
  <c r="K40" i="2"/>
  <c r="E40" i="2" s="1"/>
  <c r="K39" i="2"/>
  <c r="E39" i="2" s="1"/>
  <c r="K38" i="2"/>
  <c r="E38" i="2" s="1"/>
  <c r="K37" i="2"/>
  <c r="E37" i="2" s="1"/>
  <c r="K36" i="2"/>
  <c r="E36" i="2" s="1"/>
  <c r="K35" i="2"/>
  <c r="E35" i="2" s="1"/>
  <c r="K34" i="2"/>
  <c r="E34" i="2" s="1"/>
  <c r="K33" i="2"/>
  <c r="E33" i="2" s="1"/>
  <c r="K32" i="2"/>
  <c r="E32" i="2" s="1"/>
  <c r="K31" i="2"/>
  <c r="E31" i="2" s="1"/>
  <c r="K30" i="2"/>
  <c r="E30" i="2" s="1"/>
  <c r="K29" i="2"/>
  <c r="E29" i="2" s="1"/>
  <c r="K28" i="2"/>
  <c r="E28" i="2" s="1"/>
  <c r="K27" i="2"/>
  <c r="E27" i="2" s="1"/>
  <c r="K26" i="2"/>
  <c r="E26" i="2" s="1"/>
  <c r="K25" i="2"/>
  <c r="E25" i="2" s="1"/>
  <c r="K24" i="2"/>
  <c r="E24" i="2" s="1"/>
  <c r="K23" i="2"/>
  <c r="E23" i="2" s="1"/>
  <c r="K22" i="2"/>
  <c r="E22" i="2" s="1"/>
  <c r="K21" i="2"/>
  <c r="E21" i="2" s="1"/>
  <c r="K20" i="2"/>
  <c r="E20" i="2" s="1"/>
  <c r="K19" i="2"/>
  <c r="E19" i="2" s="1"/>
  <c r="K18" i="2"/>
  <c r="K17" i="2"/>
  <c r="E17" i="2" s="1"/>
  <c r="K16" i="2"/>
  <c r="E16" i="2" s="1"/>
  <c r="K15" i="2"/>
  <c r="E15" i="2" s="1"/>
  <c r="K14" i="2"/>
  <c r="E14" i="2" s="1"/>
  <c r="K13" i="2"/>
  <c r="E13" i="2" s="1"/>
  <c r="K12" i="2"/>
  <c r="E12" i="2" s="1"/>
  <c r="K11" i="2"/>
  <c r="E11" i="2" s="1"/>
  <c r="K10" i="2"/>
  <c r="K9" i="2"/>
  <c r="E9" i="2" s="1"/>
  <c r="K8" i="2"/>
  <c r="E8" i="2" s="1"/>
  <c r="K7" i="2"/>
  <c r="E7" i="2" s="1"/>
  <c r="K6" i="2"/>
  <c r="E6" i="2" s="1"/>
  <c r="K5" i="2"/>
  <c r="E5" i="2" s="1"/>
  <c r="K4" i="2"/>
  <c r="E4" i="2" s="1"/>
  <c r="K3" i="2"/>
  <c r="E3" i="2" s="1"/>
  <c r="K2" i="2"/>
  <c r="E2" i="2" s="1"/>
  <c r="E10" i="2"/>
  <c r="E18" i="2"/>
  <c r="E42" i="2"/>
  <c r="E50" i="2"/>
  <c r="E58" i="2"/>
  <c r="E74" i="2"/>
  <c r="E81" i="2"/>
  <c r="E82" i="2"/>
  <c r="E87" i="2"/>
  <c r="E95" i="2"/>
  <c r="E98" i="2"/>
  <c r="E102" i="2"/>
  <c r="E107" i="2"/>
  <c r="E111" i="2"/>
  <c r="E114" i="2"/>
  <c r="E126" i="2"/>
  <c r="E127" i="2"/>
  <c r="E138" i="2"/>
  <c r="E146" i="2"/>
  <c r="E150" i="2"/>
  <c r="C54" i="5" l="1"/>
  <c r="E236" i="2"/>
  <c r="H21" i="5" l="1"/>
  <c r="E33" i="3"/>
  <c r="K235" i="2"/>
  <c r="K223" i="2"/>
  <c r="E223" i="2" s="1"/>
  <c r="K224" i="2"/>
  <c r="E224" i="2" s="1"/>
  <c r="K225" i="2"/>
  <c r="E225" i="2" s="1"/>
  <c r="K226" i="2"/>
  <c r="E226" i="2" s="1"/>
  <c r="K227" i="2"/>
  <c r="E227" i="2" s="1"/>
  <c r="K228" i="2"/>
  <c r="E228" i="2" s="1"/>
  <c r="K229" i="2"/>
  <c r="K230" i="2"/>
  <c r="K231" i="2"/>
  <c r="K232" i="2"/>
  <c r="K233" i="2"/>
  <c r="K234" i="2"/>
  <c r="K158" i="2"/>
  <c r="M237" i="2" l="1"/>
  <c r="M236" i="2"/>
  <c r="E229" i="2"/>
  <c r="E32" i="3"/>
  <c r="E235" i="2"/>
  <c r="E31" i="3" l="1"/>
  <c r="E231" i="2"/>
  <c r="E232" i="2"/>
  <c r="E233" i="2"/>
  <c r="E234" i="2"/>
  <c r="E230" i="2"/>
  <c r="E30" i="3" l="1"/>
  <c r="E29" i="3"/>
  <c r="E28" i="3"/>
  <c r="B272" i="2"/>
  <c r="E27" i="3"/>
  <c r="D26" i="3"/>
  <c r="E26" i="3" l="1"/>
  <c r="D21" i="5"/>
  <c r="E21" i="5"/>
  <c r="F21" i="5"/>
  <c r="G21" i="5"/>
  <c r="E25" i="3" l="1"/>
  <c r="E24" i="3"/>
  <c r="E23" i="3" l="1"/>
  <c r="E22" i="3"/>
  <c r="E21" i="3"/>
  <c r="K222" i="2" l="1"/>
  <c r="E222" i="2" s="1"/>
  <c r="E158" i="2"/>
  <c r="K159" i="2"/>
  <c r="E159" i="2" s="1"/>
  <c r="K160" i="2"/>
  <c r="E160" i="2" s="1"/>
  <c r="K161" i="2"/>
  <c r="E161" i="2" s="1"/>
  <c r="K162" i="2"/>
  <c r="E162" i="2" s="1"/>
  <c r="K163" i="2"/>
  <c r="E163" i="2" s="1"/>
  <c r="K164" i="2"/>
  <c r="E164" i="2" s="1"/>
  <c r="K165" i="2"/>
  <c r="E165" i="2" s="1"/>
  <c r="K166" i="2"/>
  <c r="E166" i="2" s="1"/>
  <c r="K167" i="2"/>
  <c r="E167" i="2" s="1"/>
  <c r="K168" i="2"/>
  <c r="E168" i="2" s="1"/>
  <c r="K169" i="2"/>
  <c r="E169" i="2" s="1"/>
  <c r="K170" i="2"/>
  <c r="E170" i="2" s="1"/>
  <c r="K171" i="2"/>
  <c r="E171" i="2" s="1"/>
  <c r="K172" i="2"/>
  <c r="E172" i="2" s="1"/>
  <c r="K173" i="2"/>
  <c r="E173" i="2" s="1"/>
  <c r="K174" i="2"/>
  <c r="E174" i="2" s="1"/>
  <c r="K175" i="2"/>
  <c r="E175" i="2" s="1"/>
  <c r="K176" i="2"/>
  <c r="E176" i="2" s="1"/>
  <c r="K177" i="2"/>
  <c r="E177" i="2" s="1"/>
  <c r="K178" i="2"/>
  <c r="E178" i="2" s="1"/>
  <c r="K179" i="2"/>
  <c r="E179" i="2" s="1"/>
  <c r="K180" i="2"/>
  <c r="E180" i="2" s="1"/>
  <c r="K181" i="2"/>
  <c r="E181" i="2" s="1"/>
  <c r="K182" i="2"/>
  <c r="E182" i="2" s="1"/>
  <c r="K183" i="2"/>
  <c r="E183" i="2" s="1"/>
  <c r="K184" i="2"/>
  <c r="E184" i="2" s="1"/>
  <c r="K185" i="2"/>
  <c r="E185" i="2" s="1"/>
  <c r="K186" i="2"/>
  <c r="E186" i="2" s="1"/>
  <c r="K187" i="2"/>
  <c r="E187" i="2" s="1"/>
  <c r="K188" i="2"/>
  <c r="E188" i="2" s="1"/>
  <c r="K189" i="2"/>
  <c r="E189" i="2" s="1"/>
  <c r="K190" i="2"/>
  <c r="E190" i="2" s="1"/>
  <c r="K191" i="2"/>
  <c r="E191" i="2" s="1"/>
  <c r="K192" i="2"/>
  <c r="E192" i="2" s="1"/>
  <c r="K193" i="2"/>
  <c r="K194" i="2"/>
  <c r="E194" i="2" s="1"/>
  <c r="K195" i="2"/>
  <c r="E195" i="2" s="1"/>
  <c r="K196" i="2"/>
  <c r="E196" i="2" s="1"/>
  <c r="K197" i="2"/>
  <c r="E197" i="2" s="1"/>
  <c r="K198" i="2"/>
  <c r="E198" i="2" s="1"/>
  <c r="K199" i="2"/>
  <c r="E199" i="2" s="1"/>
  <c r="K200" i="2"/>
  <c r="E200" i="2" s="1"/>
  <c r="K201" i="2"/>
  <c r="E201" i="2" s="1"/>
  <c r="K202" i="2"/>
  <c r="E202" i="2" s="1"/>
  <c r="K203" i="2"/>
  <c r="E203" i="2" s="1"/>
  <c r="K204" i="2"/>
  <c r="E204" i="2" s="1"/>
  <c r="K205" i="2"/>
  <c r="E205" i="2" s="1"/>
  <c r="K206" i="2"/>
  <c r="E206" i="2" s="1"/>
  <c r="K207" i="2"/>
  <c r="E207" i="2" s="1"/>
  <c r="K208" i="2"/>
  <c r="E208" i="2" s="1"/>
  <c r="K209" i="2"/>
  <c r="E209" i="2" s="1"/>
  <c r="K210" i="2"/>
  <c r="E210" i="2" s="1"/>
  <c r="K211" i="2"/>
  <c r="E211" i="2" s="1"/>
  <c r="K212" i="2"/>
  <c r="E212" i="2" s="1"/>
  <c r="K213" i="2"/>
  <c r="E213" i="2" s="1"/>
  <c r="K214" i="2"/>
  <c r="E214" i="2" s="1"/>
  <c r="K215" i="2"/>
  <c r="E215" i="2" s="1"/>
  <c r="K216" i="2"/>
  <c r="E216" i="2" s="1"/>
  <c r="K217" i="2"/>
  <c r="K218" i="2"/>
  <c r="E218" i="2" s="1"/>
  <c r="K219" i="2"/>
  <c r="E219" i="2" s="1"/>
  <c r="K220" i="2"/>
  <c r="E220" i="2" s="1"/>
  <c r="K221" i="2"/>
  <c r="E221" i="2" s="1"/>
  <c r="K157" i="2"/>
  <c r="E20" i="3"/>
  <c r="E19" i="3"/>
  <c r="E217" i="2" l="1"/>
  <c r="M228" i="2"/>
  <c r="M180" i="2"/>
  <c r="M204" i="2"/>
  <c r="E193" i="2"/>
  <c r="M168" i="2"/>
  <c r="M216" i="2"/>
  <c r="M192" i="2"/>
  <c r="E157" i="2"/>
  <c r="E18" i="3" l="1"/>
  <c r="E16" i="3"/>
  <c r="E17" i="3"/>
  <c r="E15" i="3"/>
  <c r="E14" i="3"/>
  <c r="E13" i="3" l="1"/>
  <c r="E12" i="3" l="1"/>
  <c r="E3" i="3"/>
  <c r="E4" i="3"/>
  <c r="E5" i="3"/>
  <c r="E6" i="3"/>
  <c r="E7" i="3"/>
  <c r="E8" i="3"/>
  <c r="E9" i="3"/>
  <c r="E10" i="3"/>
  <c r="E11" i="3"/>
  <c r="E2" i="3"/>
  <c r="O4" i="5" l="1"/>
  <c r="O5" i="5"/>
  <c r="G8" i="5"/>
  <c r="O6" i="5"/>
  <c r="F14" i="5" l="1"/>
  <c r="G15" i="5"/>
  <c r="D50" i="3"/>
  <c r="M8" i="5"/>
  <c r="N8" i="5"/>
  <c r="N20" i="5" s="1"/>
  <c r="N21" i="5" s="1"/>
  <c r="O21" i="5" s="1"/>
  <c r="L8" i="5"/>
  <c r="I8" i="5"/>
  <c r="I35" i="5" s="1"/>
  <c r="H8" i="5"/>
  <c r="F8" i="5"/>
  <c r="E8" i="5"/>
  <c r="E35" i="5" s="1"/>
  <c r="D8" i="5"/>
  <c r="D35" i="5" s="1"/>
  <c r="K8" i="5" l="1"/>
  <c r="K35" i="5" s="1"/>
  <c r="J8" i="5"/>
  <c r="J35" i="5" s="1"/>
  <c r="D49" i="5" l="1"/>
  <c r="H52" i="5" l="1"/>
  <c r="H54" i="5" s="1"/>
  <c r="F52" i="5"/>
  <c r="G52" i="5"/>
  <c r="G54" i="5" s="1"/>
  <c r="G35" i="5"/>
  <c r="H35" i="5"/>
  <c r="F35" i="5"/>
  <c r="F54" i="5" l="1"/>
  <c r="F50" i="3"/>
  <c r="F39" i="3"/>
  <c r="E39" i="3" s="1"/>
  <c r="F44" i="3"/>
  <c r="F42" i="3"/>
  <c r="F41" i="3"/>
  <c r="F40" i="3"/>
  <c r="F49" i="3"/>
  <c r="F45" i="3"/>
  <c r="F48" i="3"/>
  <c r="F47" i="3"/>
  <c r="F43" i="3"/>
  <c r="F46" i="3"/>
  <c r="E40" i="3" l="1"/>
  <c r="E41" i="3" s="1"/>
  <c r="E42" i="3" s="1"/>
  <c r="E43" i="3" s="1"/>
  <c r="E44" i="3" s="1"/>
  <c r="E45" i="3" s="1"/>
  <c r="E46" i="3" s="1"/>
  <c r="E47" i="3" s="1"/>
  <c r="E48" i="3" s="1"/>
  <c r="E49" i="3" s="1"/>
  <c r="F30" i="5" l="1"/>
  <c r="F29" i="5" s="1"/>
  <c r="N33" i="5" l="1"/>
  <c r="M33" i="5"/>
  <c r="M35" i="5" s="1"/>
  <c r="G30" i="5"/>
  <c r="L35" i="5"/>
  <c r="O33" i="5"/>
  <c r="H48" i="5" l="1"/>
  <c r="F49" i="5" s="1"/>
  <c r="P33" i="5"/>
  <c r="N35" i="5" s="1"/>
  <c r="O35" i="5" s="1"/>
  <c r="F48" i="5" l="1"/>
  <c r="L52" i="5"/>
  <c r="M52" i="5"/>
  <c r="M54" i="5" s="1"/>
  <c r="N52" i="5"/>
  <c r="N54" i="5" s="1"/>
  <c r="G49" i="5"/>
  <c r="L54" i="5" l="1"/>
  <c r="O54" i="5" s="1"/>
  <c r="O5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tc={21C55236-7D67-4CC3-A4B7-A533A5D416DC}</author>
  </authors>
  <commentList>
    <comment ref="D250" authorId="0" shapeId="0" xr:uid="{21C55236-7D67-4CC3-A4B7-A533A5D416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Estimativa diaria contem PAP - Retirar PAP para insercao na serie</t>
      </text>
    </comment>
  </commentList>
</comments>
</file>

<file path=xl/sharedStrings.xml><?xml version="1.0" encoding="utf-8"?>
<sst xmlns="http://schemas.openxmlformats.org/spreadsheetml/2006/main" count="117" uniqueCount="59">
  <si>
    <t>Data</t>
  </si>
  <si>
    <t>IGPDI</t>
  </si>
  <si>
    <t>Jan</t>
  </si>
  <si>
    <t>Mar</t>
  </si>
  <si>
    <t>Jun</t>
  </si>
  <si>
    <t>Jul</t>
  </si>
  <si>
    <t>Nov</t>
  </si>
  <si>
    <t>ANO</t>
  </si>
  <si>
    <t>1º TRI</t>
  </si>
  <si>
    <t>2º TRI</t>
  </si>
  <si>
    <t>3º TRI</t>
  </si>
  <si>
    <t>4º TRI</t>
  </si>
  <si>
    <t>PIB</t>
  </si>
  <si>
    <t>Fev</t>
  </si>
  <si>
    <t>Abr</t>
  </si>
  <si>
    <t>Mai</t>
  </si>
  <si>
    <t>Ago</t>
  </si>
  <si>
    <t>Set</t>
  </si>
  <si>
    <t>Out</t>
  </si>
  <si>
    <t>Dez</t>
  </si>
  <si>
    <t>Distribuição Mensal</t>
  </si>
  <si>
    <t>Projeção PIB</t>
  </si>
  <si>
    <t>Obter variações trimestrais no Sistema de expectativas do Bacen</t>
  </si>
  <si>
    <t>Obter variação anual no SE-BCB</t>
  </si>
  <si>
    <t>Aplicar para o 1º, 2º e 3º trimestre o percentual obtido no SE</t>
  </si>
  <si>
    <t>Estabelecer o 4º Tri para que a variação seja igual à expectativa anual do SE</t>
  </si>
  <si>
    <t>Distribuir os valores trimestrais nos meses de acordo com os percentuais da primeira etapa.</t>
  </si>
  <si>
    <t>ICMS</t>
  </si>
  <si>
    <t>2022 - ARIMA</t>
  </si>
  <si>
    <t>2022 - SEAS</t>
  </si>
  <si>
    <t>REF</t>
  </si>
  <si>
    <t>Participação entre TRIs(ARIMA)</t>
  </si>
  <si>
    <t>IGP-DI</t>
  </si>
  <si>
    <t>,</t>
  </si>
  <si>
    <t>Previsão</t>
  </si>
  <si>
    <t>Calcular a participação de cada mês no seu respectivo trimestre (Previsão ARIMA ou baseado nos anos anteriores)</t>
  </si>
  <si>
    <t>Projeção IGP-DI</t>
  </si>
  <si>
    <t>Obter variações mensais no Sistema de expectativas do Bacen</t>
  </si>
  <si>
    <t>Ajustar para o valor final coincidir com a projeção anual</t>
  </si>
  <si>
    <t>Projeção PIB 2024</t>
  </si>
  <si>
    <t>Variação Mesmo TRI 2023</t>
  </si>
  <si>
    <t>Ressarcimento ST</t>
  </si>
  <si>
    <t>Cred_AC</t>
  </si>
  <si>
    <t>ICMS_cheio</t>
  </si>
  <si>
    <t>TOTAL</t>
  </si>
  <si>
    <t xml:space="preserve">Consulta em </t>
  </si>
  <si>
    <t>AP</t>
  </si>
  <si>
    <t>Arrec efetiva</t>
  </si>
  <si>
    <t>PIB 2024 Mensal</t>
  </si>
  <si>
    <t>2023 - IBCBR</t>
  </si>
  <si>
    <t>Projeção PIB 2025</t>
  </si>
  <si>
    <t>Variação Mesmo TRI 2024</t>
  </si>
  <si>
    <t>PIB 2025 Mensal</t>
  </si>
  <si>
    <t>Tabela de</t>
  </si>
  <si>
    <t>ajuste</t>
  </si>
  <si>
    <t>ICMS R$</t>
  </si>
  <si>
    <t>Projeção PIB 2026</t>
  </si>
  <si>
    <t>Data Focus</t>
  </si>
  <si>
    <t>Variação Mesmo TRI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</si>
</sst>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mmm/yy"/>
    <numFmt numFmtId="165" formatCode="[$-416]0.00"/>
    <numFmt numFmtId="166" formatCode="0.00000%"/>
    <numFmt numFmtId="167" formatCode="0.0%"/>
    <numFmt numFmtId="168" formatCode="[$-416]0%"/>
    <numFmt numFmtId="169" formatCode="#,##0.0;[Red]\-#,##0.0"/>
    <numFmt numFmtId="170" formatCode="_-* #,##0_-;\-* #,##0_-;_-* &quot;-&quot;??_-;_-@_-"/>
    <numFmt numFmtId="171" formatCode="0.0"/>
    <numFmt numFmtId="172" formatCode="#,##0.00_ ;[Red]\-#,##0.00\ "/>
    <numFmt numFmtId="173" formatCode="_(&quot;R$ &quot;* #,##0.00_);_(&quot;R$ &quot;* \(#,##0.00\);_(&quot;R$ &quot;* &quot;-&quot;??_);_(@_)"/>
    <numFmt numFmtId="174" formatCode="_([$€-2]* #,##0.00_);_([$€-2]* \(#,##0.00\);_([$€-2]* &quot;-&quot;??_)"/>
    <numFmt numFmtId="175" formatCode="#."/>
    <numFmt numFmtId="176" formatCode="_-* #,##0.0_-;\-* #,##0.0_-;_-* &quot;-&quot;??_-;_-@_-"/>
    <numFmt numFmtId="177" formatCode="0.0000"/>
    <numFmt numFmtId="178" formatCode="_-* #,##0.0_-;\-* #,##0.0_-;_-* &quot;-&quot;?_-;_-@_-"/>
    <numFmt numFmtId="179" formatCode="_-* #,##0.000_-;\-* #,##0.000_-;_-* &quot;-&quot;??_-;_-@_-"/>
    <numFmt numFmtId="180" formatCode="0.000000"/>
  </numFmts>
  <fonts count="42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2"/>
      <name val="Arial"/>
      <family val="2"/>
    </font>
    <font>
      <sz val="10"/>
      <name val="Times New Roman"/>
      <family val="1"/>
    </font>
    <font>
      <sz val="11"/>
      <color rgb="FF000000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sz val="12"/>
      <color indexed="8"/>
      <name val="Calibri Light"/>
      <family val="2"/>
      <scheme val="major"/>
    </font>
    <font>
      <sz val="7"/>
      <color rgb="FF5E6773"/>
      <name val="Ubuntu"/>
      <family val="2"/>
    </font>
    <font>
      <b/>
      <sz val="12"/>
      <name val="Calibri Light"/>
      <family val="2"/>
      <scheme val="major"/>
    </font>
    <font>
      <b/>
      <sz val="12"/>
      <color rgb="FF000000"/>
      <name val="Futura LtCn BT"/>
      <family val="2"/>
    </font>
    <font>
      <sz val="12"/>
      <name val="Futura LtCn BT"/>
      <family val="2"/>
    </font>
    <font>
      <sz val="12"/>
      <color rgb="FF000000"/>
      <name val="Futura LtCn BT"/>
      <family val="2"/>
    </font>
    <font>
      <sz val="12"/>
      <color indexed="8"/>
      <name val="Futura LtCn BT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name val="Helv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"/>
      <color indexed="18"/>
      <name val="Courier"/>
      <family val="3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u/>
      <sz val="7"/>
      <color indexed="12"/>
      <name val="Arial"/>
      <family val="2"/>
    </font>
    <font>
      <sz val="7"/>
      <color rgb="FF212529"/>
      <name val="Arial"/>
      <family val="2"/>
    </font>
    <font>
      <sz val="7"/>
      <color rgb="FF5E6773"/>
      <name val="Arial"/>
      <family val="2"/>
    </font>
    <font>
      <sz val="6"/>
      <color rgb="FF000000"/>
      <name val="Verdana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5">
    <xf numFmtId="0" fontId="0" fillId="0" borderId="0"/>
    <xf numFmtId="9" fontId="2" fillId="0" borderId="0"/>
    <xf numFmtId="0" fontId="2" fillId="0" borderId="0"/>
    <xf numFmtId="168" fontId="5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8" fillId="0" borderId="0"/>
    <xf numFmtId="9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1" fillId="9" borderId="0" applyNumberFormat="0" applyBorder="0" applyAlignment="0" applyProtection="0"/>
    <xf numFmtId="0" fontId="22" fillId="21" borderId="2" applyNumberFormat="0" applyAlignment="0" applyProtection="0"/>
    <xf numFmtId="0" fontId="23" fillId="22" borderId="3" applyNumberFormat="0" applyAlignment="0" applyProtection="0"/>
    <xf numFmtId="0" fontId="24" fillId="0" borderId="4" applyNumberFormat="0" applyFill="0" applyAlignment="0" applyProtection="0"/>
    <xf numFmtId="0" fontId="25" fillId="0" borderId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6" borderId="0" applyNumberFormat="0" applyBorder="0" applyAlignment="0" applyProtection="0"/>
    <xf numFmtId="0" fontId="26" fillId="12" borderId="2" applyNumberFormat="0" applyAlignment="0" applyProtection="0"/>
    <xf numFmtId="174" fontId="8" fillId="0" borderId="0" applyFont="0" applyFill="0" applyBorder="0" applyAlignment="0" applyProtection="0"/>
    <xf numFmtId="0" fontId="27" fillId="8" borderId="0" applyNumberFormat="0" applyBorder="0" applyAlignment="0" applyProtection="0"/>
    <xf numFmtId="0" fontId="28" fillId="27" borderId="0" applyNumberFormat="0" applyBorder="0" applyAlignment="0" applyProtection="0"/>
    <xf numFmtId="0" fontId="8" fillId="28" borderId="5" applyNumberFormat="0" applyFont="0" applyAlignment="0" applyProtection="0"/>
    <xf numFmtId="0" fontId="29" fillId="21" borderId="6" applyNumberFormat="0" applyAlignment="0" applyProtection="0"/>
    <xf numFmtId="175" fontId="30" fillId="0" borderId="0">
      <protection locked="0"/>
    </xf>
    <xf numFmtId="0" fontId="8" fillId="0" borderId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7" applyNumberFormat="0" applyFill="0" applyAlignment="0" applyProtection="0"/>
    <xf numFmtId="0" fontId="34" fillId="0" borderId="8" applyNumberFormat="0" applyFill="0" applyAlignment="0" applyProtection="0"/>
    <xf numFmtId="0" fontId="35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10" applyNumberFormat="0" applyFill="0" applyAlignment="0" applyProtection="0"/>
    <xf numFmtId="0" fontId="8" fillId="0" borderId="0" applyBorder="0"/>
    <xf numFmtId="43" fontId="8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1" fillId="0" borderId="0"/>
    <xf numFmtId="0" fontId="8" fillId="0" borderId="0" applyBorder="0"/>
    <xf numFmtId="0" fontId="8" fillId="0" borderId="0" applyBorder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13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10" fontId="0" fillId="2" borderId="0" xfId="0" applyNumberFormat="1" applyFill="1" applyAlignment="1">
      <alignment horizontal="center"/>
    </xf>
    <xf numFmtId="10" fontId="2" fillId="0" borderId="0" xfId="1" applyNumberFormat="1"/>
    <xf numFmtId="2" fontId="0" fillId="2" borderId="0" xfId="0" applyNumberFormat="1" applyFill="1"/>
    <xf numFmtId="38" fontId="0" fillId="2" borderId="0" xfId="0" applyNumberFormat="1" applyFill="1"/>
    <xf numFmtId="0" fontId="0" fillId="2" borderId="0" xfId="0" applyFill="1" applyAlignment="1">
      <alignment horizontal="right"/>
    </xf>
    <xf numFmtId="0" fontId="4" fillId="2" borderId="0" xfId="0" applyFont="1" applyFill="1" applyAlignment="1">
      <alignment horizontal="left" wrapText="1"/>
    </xf>
    <xf numFmtId="10" fontId="4" fillId="2" borderId="0" xfId="0" applyNumberFormat="1" applyFont="1" applyFill="1" applyAlignment="1">
      <alignment horizontal="right" wrapText="1"/>
    </xf>
    <xf numFmtId="167" fontId="0" fillId="2" borderId="0" xfId="0" applyNumberFormat="1" applyFill="1"/>
    <xf numFmtId="10" fontId="7" fillId="2" borderId="0" xfId="0" applyNumberFormat="1" applyFont="1" applyFill="1" applyAlignment="1">
      <alignment horizontal="center"/>
    </xf>
    <xf numFmtId="10" fontId="3" fillId="2" borderId="0" xfId="0" applyNumberFormat="1" applyFont="1" applyFill="1"/>
    <xf numFmtId="0" fontId="3" fillId="2" borderId="0" xfId="0" applyFont="1" applyFill="1" applyAlignment="1">
      <alignment horizontal="left"/>
    </xf>
    <xf numFmtId="167" fontId="2" fillId="0" borderId="0" xfId="1" applyNumberFormat="1"/>
    <xf numFmtId="2" fontId="0" fillId="2" borderId="0" xfId="0" applyNumberFormat="1" applyFill="1" applyAlignment="1">
      <alignment horizontal="center"/>
    </xf>
    <xf numFmtId="166" fontId="0" fillId="2" borderId="0" xfId="0" applyNumberFormat="1" applyFill="1"/>
    <xf numFmtId="0" fontId="9" fillId="2" borderId="0" xfId="0" applyFont="1" applyFill="1"/>
    <xf numFmtId="4" fontId="9" fillId="2" borderId="0" xfId="0" applyNumberFormat="1" applyFont="1" applyFill="1"/>
    <xf numFmtId="10" fontId="9" fillId="2" borderId="0" xfId="0" applyNumberFormat="1" applyFont="1" applyFill="1"/>
    <xf numFmtId="43" fontId="11" fillId="2" borderId="0" xfId="4" applyFont="1" applyFill="1"/>
    <xf numFmtId="165" fontId="10" fillId="2" borderId="0" xfId="2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38" fontId="0" fillId="2" borderId="0" xfId="0" applyNumberFormat="1" applyFill="1" applyAlignment="1">
      <alignment horizontal="center"/>
    </xf>
    <xf numFmtId="40" fontId="0" fillId="2" borderId="0" xfId="0" applyNumberFormat="1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3" fontId="7" fillId="3" borderId="0" xfId="0" applyNumberFormat="1" applyFon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2" borderId="1" xfId="0" applyNumberFormat="1" applyFill="1" applyBorder="1" applyAlignment="1">
      <alignment horizontal="center"/>
    </xf>
    <xf numFmtId="169" fontId="0" fillId="2" borderId="0" xfId="0" applyNumberFormat="1" applyFill="1" applyAlignment="1">
      <alignment horizontal="center"/>
    </xf>
    <xf numFmtId="10" fontId="4" fillId="2" borderId="0" xfId="0" applyNumberFormat="1" applyFont="1" applyFill="1" applyAlignment="1">
      <alignment horizontal="left" wrapText="1"/>
    </xf>
    <xf numFmtId="10" fontId="0" fillId="2" borderId="0" xfId="0" applyNumberFormat="1" applyFill="1"/>
    <xf numFmtId="171" fontId="0" fillId="2" borderId="0" xfId="0" applyNumberFormat="1" applyFill="1" applyAlignment="1">
      <alignment horizontal="center"/>
    </xf>
    <xf numFmtId="43" fontId="4" fillId="2" borderId="0" xfId="4" applyFont="1" applyFill="1" applyAlignment="1">
      <alignment horizontal="left" wrapText="1"/>
    </xf>
    <xf numFmtId="165" fontId="10" fillId="4" borderId="0" xfId="2" applyNumberFormat="1" applyFont="1" applyFill="1" applyAlignment="1">
      <alignment horizontal="center"/>
    </xf>
    <xf numFmtId="172" fontId="0" fillId="2" borderId="0" xfId="0" applyNumberFormat="1" applyFill="1" applyAlignment="1">
      <alignment horizontal="center"/>
    </xf>
    <xf numFmtId="17" fontId="9" fillId="2" borderId="0" xfId="0" applyNumberFormat="1" applyFont="1" applyFill="1"/>
    <xf numFmtId="167" fontId="11" fillId="2" borderId="0" xfId="1" applyNumberFormat="1" applyFont="1" applyFill="1"/>
    <xf numFmtId="43" fontId="9" fillId="2" borderId="0" xfId="4" applyFont="1" applyFill="1"/>
    <xf numFmtId="43" fontId="7" fillId="2" borderId="0" xfId="4" applyFont="1" applyFill="1" applyBorder="1" applyAlignment="1">
      <alignment horizontal="center"/>
    </xf>
    <xf numFmtId="0" fontId="13" fillId="2" borderId="1" xfId="0" applyFont="1" applyFill="1" applyBorder="1"/>
    <xf numFmtId="0" fontId="14" fillId="2" borderId="1" xfId="2" applyFont="1" applyFill="1" applyBorder="1" applyAlignment="1">
      <alignment horizontal="center"/>
    </xf>
    <xf numFmtId="170" fontId="14" fillId="2" borderId="1" xfId="4" applyNumberFormat="1" applyFont="1" applyFill="1" applyBorder="1" applyAlignment="1">
      <alignment horizontal="center"/>
    </xf>
    <xf numFmtId="0" fontId="15" fillId="2" borderId="0" xfId="0" applyFont="1" applyFill="1"/>
    <xf numFmtId="0" fontId="15" fillId="2" borderId="0" xfId="0" applyFont="1" applyFill="1" applyAlignment="1">
      <alignment horizontal="right"/>
    </xf>
    <xf numFmtId="164" fontId="16" fillId="2" borderId="0" xfId="2" applyNumberFormat="1" applyFont="1" applyFill="1" applyAlignment="1">
      <alignment horizontal="center"/>
    </xf>
    <xf numFmtId="165" fontId="16" fillId="4" borderId="0" xfId="2" applyNumberFormat="1" applyFont="1" applyFill="1" applyAlignment="1">
      <alignment horizontal="center"/>
    </xf>
    <xf numFmtId="170" fontId="15" fillId="2" borderId="0" xfId="4" applyNumberFormat="1" applyFont="1" applyFill="1" applyBorder="1" applyAlignment="1">
      <alignment horizontal="center"/>
    </xf>
    <xf numFmtId="170" fontId="15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38" fontId="15" fillId="2" borderId="0" xfId="0" applyNumberFormat="1" applyFont="1" applyFill="1"/>
    <xf numFmtId="10" fontId="15" fillId="2" borderId="0" xfId="0" applyNumberFormat="1" applyFont="1" applyFill="1"/>
    <xf numFmtId="165" fontId="16" fillId="2" borderId="0" xfId="2" applyNumberFormat="1" applyFont="1" applyFill="1" applyAlignment="1">
      <alignment horizontal="center"/>
    </xf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10" fontId="17" fillId="2" borderId="0" xfId="1" applyNumberFormat="1" applyFont="1" applyFill="1" applyAlignment="1">
      <alignment horizontal="center"/>
    </xf>
    <xf numFmtId="2" fontId="15" fillId="2" borderId="0" xfId="0" applyNumberFormat="1" applyFont="1" applyFill="1" applyAlignment="1">
      <alignment horizontal="center"/>
    </xf>
    <xf numFmtId="167" fontId="17" fillId="2" borderId="0" xfId="1" applyNumberFormat="1" applyFont="1" applyFill="1" applyAlignment="1">
      <alignment horizontal="center"/>
    </xf>
    <xf numFmtId="43" fontId="17" fillId="2" borderId="0" xfId="4" applyFont="1" applyFill="1"/>
    <xf numFmtId="170" fontId="15" fillId="2" borderId="0" xfId="80" applyNumberFormat="1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3" fontId="0" fillId="2" borderId="12" xfId="0" applyNumberFormat="1" applyFill="1" applyBorder="1" applyAlignment="1">
      <alignment horizontal="center"/>
    </xf>
    <xf numFmtId="165" fontId="16" fillId="29" borderId="0" xfId="2" applyNumberFormat="1" applyFont="1" applyFill="1" applyAlignment="1">
      <alignment horizontal="center"/>
    </xf>
    <xf numFmtId="167" fontId="2" fillId="2" borderId="0" xfId="1" applyNumberFormat="1" applyFill="1"/>
    <xf numFmtId="43" fontId="9" fillId="2" borderId="0" xfId="0" applyNumberFormat="1" applyFont="1" applyFill="1"/>
    <xf numFmtId="170" fontId="15" fillId="3" borderId="0" xfId="0" applyNumberFormat="1" applyFont="1" applyFill="1" applyAlignment="1">
      <alignment horizontal="center"/>
    </xf>
    <xf numFmtId="177" fontId="0" fillId="0" borderId="0" xfId="0" applyNumberFormat="1"/>
    <xf numFmtId="169" fontId="0" fillId="2" borderId="0" xfId="0" applyNumberFormat="1" applyFill="1"/>
    <xf numFmtId="178" fontId="0" fillId="2" borderId="0" xfId="0" applyNumberFormat="1" applyFill="1"/>
    <xf numFmtId="43" fontId="0" fillId="2" borderId="0" xfId="4" applyFont="1" applyFill="1"/>
    <xf numFmtId="179" fontId="9" fillId="2" borderId="0" xfId="0" applyNumberFormat="1" applyFont="1" applyFill="1"/>
    <xf numFmtId="14" fontId="15" fillId="2" borderId="0" xfId="0" applyNumberFormat="1" applyFont="1" applyFill="1" applyAlignment="1">
      <alignment horizontal="center"/>
    </xf>
    <xf numFmtId="164" fontId="16" fillId="2" borderId="0" xfId="2" applyNumberFormat="1" applyFont="1" applyFill="1" applyAlignment="1">
      <alignment horizontal="right"/>
    </xf>
    <xf numFmtId="167" fontId="2" fillId="2" borderId="0" xfId="1" applyNumberFormat="1" applyFill="1" applyAlignment="1">
      <alignment horizontal="center"/>
    </xf>
    <xf numFmtId="0" fontId="41" fillId="2" borderId="0" xfId="0" applyFont="1" applyFill="1" applyAlignment="1">
      <alignment horizontal="left" vertical="center" wrapText="1"/>
    </xf>
    <xf numFmtId="0" fontId="41" fillId="2" borderId="0" xfId="0" applyFont="1" applyFill="1" applyAlignment="1">
      <alignment horizontal="right" vertical="center" wrapText="1"/>
    </xf>
    <xf numFmtId="43" fontId="4" fillId="2" borderId="0" xfId="4" applyFont="1" applyFill="1" applyAlignment="1">
      <alignment horizontal="left"/>
    </xf>
    <xf numFmtId="9" fontId="2" fillId="2" borderId="0" xfId="1" applyFill="1" applyAlignment="1">
      <alignment horizontal="center"/>
    </xf>
    <xf numFmtId="43" fontId="2" fillId="2" borderId="0" xfId="4" applyFont="1" applyFill="1"/>
    <xf numFmtId="170" fontId="41" fillId="2" borderId="0" xfId="4" applyNumberFormat="1" applyFont="1" applyFill="1" applyAlignment="1">
      <alignment horizontal="left" vertical="center" wrapText="1"/>
    </xf>
    <xf numFmtId="170" fontId="15" fillId="2" borderId="0" xfId="0" applyNumberFormat="1" applyFont="1" applyFill="1"/>
    <xf numFmtId="170" fontId="14" fillId="2" borderId="0" xfId="4" applyNumberFormat="1" applyFont="1" applyFill="1" applyBorder="1" applyAlignment="1">
      <alignment horizontal="center"/>
    </xf>
    <xf numFmtId="43" fontId="0" fillId="2" borderId="0" xfId="0" applyNumberFormat="1" applyFill="1" applyAlignment="1">
      <alignment horizontal="center"/>
    </xf>
    <xf numFmtId="170" fontId="15" fillId="5" borderId="0" xfId="0" applyNumberFormat="1" applyFont="1" applyFill="1" applyAlignment="1">
      <alignment horizontal="center"/>
    </xf>
    <xf numFmtId="0" fontId="15" fillId="5" borderId="0" xfId="0" applyFont="1" applyFill="1"/>
    <xf numFmtId="10" fontId="2" fillId="2" borderId="0" xfId="1" applyNumberFormat="1" applyFill="1" applyAlignment="1">
      <alignment horizontal="center"/>
    </xf>
    <xf numFmtId="10" fontId="2" fillId="2" borderId="0" xfId="1" applyNumberFormat="1" applyFill="1"/>
    <xf numFmtId="9" fontId="2" fillId="2" borderId="0" xfId="1" applyFill="1"/>
    <xf numFmtId="0" fontId="39" fillId="2" borderId="0" xfId="0" applyFont="1" applyFill="1" applyAlignment="1">
      <alignment horizontal="right" vertical="center" wrapText="1"/>
    </xf>
    <xf numFmtId="0" fontId="13" fillId="30" borderId="0" xfId="0" applyFont="1" applyFill="1"/>
    <xf numFmtId="10" fontId="7" fillId="30" borderId="0" xfId="0" applyNumberFormat="1" applyFont="1" applyFill="1" applyAlignment="1">
      <alignment horizontal="center"/>
    </xf>
    <xf numFmtId="176" fontId="0" fillId="30" borderId="0" xfId="4" applyNumberFormat="1" applyFont="1" applyFill="1"/>
    <xf numFmtId="0" fontId="12" fillId="6" borderId="0" xfId="0" applyFont="1" applyFill="1" applyAlignment="1">
      <alignment horizontal="right" vertical="center" wrapText="1"/>
    </xf>
    <xf numFmtId="2" fontId="9" fillId="2" borderId="0" xfId="0" applyNumberFormat="1" applyFont="1" applyFill="1"/>
    <xf numFmtId="0" fontId="39" fillId="6" borderId="0" xfId="0" applyFont="1" applyFill="1" applyAlignment="1">
      <alignment horizontal="right" vertical="center" wrapText="1"/>
    </xf>
    <xf numFmtId="0" fontId="40" fillId="6" borderId="0" xfId="0" applyFont="1" applyFill="1" applyAlignment="1">
      <alignment horizontal="right" vertical="center" wrapText="1"/>
    </xf>
    <xf numFmtId="0" fontId="40" fillId="0" borderId="0" xfId="0" applyFont="1" applyAlignment="1">
      <alignment horizontal="right" vertical="center" wrapText="1"/>
    </xf>
    <xf numFmtId="0" fontId="39" fillId="0" borderId="0" xfId="0" applyFont="1" applyAlignment="1">
      <alignment horizontal="right" vertical="center" wrapText="1"/>
    </xf>
    <xf numFmtId="180" fontId="9" fillId="2" borderId="0" xfId="0" applyNumberFormat="1" applyFont="1" applyFill="1"/>
    <xf numFmtId="2" fontId="15" fillId="2" borderId="0" xfId="0" applyNumberFormat="1" applyFont="1" applyFill="1"/>
    <xf numFmtId="0" fontId="13" fillId="2" borderId="0" xfId="0" applyFont="1" applyFill="1" applyAlignment="1">
      <alignment horizontal="center"/>
    </xf>
    <xf numFmtId="2" fontId="9" fillId="5" borderId="0" xfId="0" applyNumberFormat="1" applyFont="1" applyFill="1"/>
    <xf numFmtId="0" fontId="13" fillId="2" borderId="0" xfId="0" applyFont="1" applyFill="1"/>
    <xf numFmtId="170" fontId="15" fillId="31" borderId="0" xfId="4" applyNumberFormat="1" applyFont="1" applyFill="1" applyBorder="1" applyAlignment="1">
      <alignment horizontal="center"/>
    </xf>
    <xf numFmtId="170" fontId="15" fillId="31" borderId="0" xfId="80" applyNumberFormat="1" applyFont="1" applyFill="1" applyBorder="1" applyAlignment="1">
      <alignment horizontal="center"/>
    </xf>
    <xf numFmtId="43" fontId="15" fillId="2" borderId="0" xfId="0" applyNumberFormat="1" applyFont="1" applyFill="1"/>
    <xf numFmtId="170" fontId="15" fillId="2" borderId="0" xfId="4" applyNumberFormat="1" applyFont="1" applyFill="1"/>
    <xf numFmtId="14" fontId="0" fillId="2" borderId="0" xfId="0" applyNumberFormat="1" applyFill="1"/>
    <xf numFmtId="165" fontId="15" fillId="5" borderId="0" xfId="0" applyNumberFormat="1" applyFont="1" applyFill="1" applyAlignment="1">
      <alignment horizontal="center"/>
    </xf>
    <xf numFmtId="2" fontId="15" fillId="5" borderId="0" xfId="0" applyNumberFormat="1" applyFont="1" applyFill="1" applyAlignment="1">
      <alignment horizontal="center"/>
    </xf>
  </cellXfs>
  <cellStyles count="85">
    <cellStyle name="20% - Ênfase1 2" xfId="22" xr:uid="{2CFC4792-93D3-4360-AE63-F38355AF7618}"/>
    <cellStyle name="20% - Ênfase2 2" xfId="23" xr:uid="{04EEC612-42B2-4F67-8AFA-46DA9EDD061F}"/>
    <cellStyle name="20% - Ênfase3 2" xfId="24" xr:uid="{798F12EA-7F56-4CED-AF2C-26FC4C9E6AFF}"/>
    <cellStyle name="20% - Ênfase4 2" xfId="25" xr:uid="{3A7022B5-DBE3-4A90-B337-E2229AFA818F}"/>
    <cellStyle name="20% - Ênfase5 2" xfId="26" xr:uid="{56C3A82C-95C9-4DBE-B144-01403B498A22}"/>
    <cellStyle name="20% - Ênfase6 2" xfId="27" xr:uid="{024D5138-2659-4CA7-9467-61F3977304A8}"/>
    <cellStyle name="40% - Ênfase1 2" xfId="28" xr:uid="{B6D0ACA7-4F4B-47B9-ADCD-16F580DBB93C}"/>
    <cellStyle name="40% - Ênfase2 2" xfId="29" xr:uid="{85CD25C2-9990-4E79-B30F-2F5267A46DBA}"/>
    <cellStyle name="40% - Ênfase3 2" xfId="30" xr:uid="{1B51A281-F2B2-478C-8EC4-497542E83CB5}"/>
    <cellStyle name="40% - Ênfase4 2" xfId="31" xr:uid="{B3258934-CA89-4894-8AD7-A581B12C90E5}"/>
    <cellStyle name="40% - Ênfase5 2" xfId="32" xr:uid="{B02F5459-5C5E-486A-8950-8D1B6667D947}"/>
    <cellStyle name="40% - Ênfase6 2" xfId="33" xr:uid="{D29A97D1-49C7-48A7-9118-790507E06182}"/>
    <cellStyle name="60% - Ênfase1 2" xfId="34" xr:uid="{BC5ACC3A-6E4D-4CFD-ABA2-D5BD0BEDC45D}"/>
    <cellStyle name="60% - Ênfase2 2" xfId="35" xr:uid="{145DDFEE-3B5E-444E-B03F-D62CE2130EE7}"/>
    <cellStyle name="60% - Ênfase3 2" xfId="36" xr:uid="{F4F8F696-70AC-44E0-A91F-7386A03E605A}"/>
    <cellStyle name="60% - Ênfase4 2" xfId="37" xr:uid="{199D6B6E-CA15-42F9-AEE8-9E3B06577A62}"/>
    <cellStyle name="60% - Ênfase5 2" xfId="38" xr:uid="{98557B11-559B-4DE4-9F7B-0CBAAF1FA390}"/>
    <cellStyle name="60% - Ênfase6 2" xfId="39" xr:uid="{16777D73-8D99-4350-BC31-35954D9DED1B}"/>
    <cellStyle name="Bom 2" xfId="40" xr:uid="{B2348DBF-AB8B-46D1-92A6-4B6BD21E6AAC}"/>
    <cellStyle name="Cálculo 2" xfId="41" xr:uid="{49545751-B192-46DC-8F92-A114E5A9AEA4}"/>
    <cellStyle name="Célula de Verificação 2" xfId="42" xr:uid="{EE6688E2-1EAD-4DF7-9A57-A96A57B52A89}"/>
    <cellStyle name="Célula Vinculada 2" xfId="43" xr:uid="{A8B66FE0-10A9-4A5F-B70C-E671F9761A22}"/>
    <cellStyle name="Comma0 - Estilo1" xfId="44" xr:uid="{F5D38691-9424-4C83-85A9-D9899EF87154}"/>
    <cellStyle name="Ênfase1 2" xfId="45" xr:uid="{B922743F-CCEF-4D87-9ACE-AA2411434C7C}"/>
    <cellStyle name="Ênfase2 2" xfId="46" xr:uid="{185E3EB6-BCAC-40E8-A5FE-EF08E205FF52}"/>
    <cellStyle name="Ênfase3 2" xfId="47" xr:uid="{297DC2EC-041F-46DA-BA93-CB1E9B6261C2}"/>
    <cellStyle name="Ênfase4 2" xfId="48" xr:uid="{8D510AAB-8C1B-489B-AE73-923EFDD024D6}"/>
    <cellStyle name="Ênfase5 2" xfId="49" xr:uid="{15F33E8B-50E4-4281-B3C1-CB860B02E811}"/>
    <cellStyle name="Ênfase6 2" xfId="50" xr:uid="{DBE5F498-055C-4D40-9CA1-DC3AC9543696}"/>
    <cellStyle name="Entrada 2" xfId="51" xr:uid="{4CE15650-3F08-4888-AD06-0D6091252B15}"/>
    <cellStyle name="Euro" xfId="52" xr:uid="{FBC6A3AF-14EC-440D-ADFB-B96035E90FA3}"/>
    <cellStyle name="Excel Built-in Normal" xfId="2" xr:uid="{00000000-0005-0000-0000-000000000000}"/>
    <cellStyle name="Excel Built-in Percent" xfId="3" xr:uid="{00000000-0005-0000-0000-000001000000}"/>
    <cellStyle name="Hyperlink_CADASTRO_ EMPRESAS-Dezembro 2011" xfId="69" xr:uid="{5BCFD5D9-F1B7-4403-8764-48239478B47F}"/>
    <cellStyle name="Incorreto 2" xfId="53" xr:uid="{93536CA2-D308-4796-B194-DD18EDC5B321}"/>
    <cellStyle name="Moeda 2" xfId="21" xr:uid="{A4663053-76C9-4575-92D1-7F11CB9BE2E0}"/>
    <cellStyle name="Moeda 3" xfId="77" xr:uid="{7B0A6FFB-B138-47D8-99C3-4296D6263E13}"/>
    <cellStyle name="Neutra 2" xfId="54" xr:uid="{287101EC-2B19-41FA-AAC1-CA6F1A3BECED}"/>
    <cellStyle name="Normal" xfId="0" builtinId="0"/>
    <cellStyle name="Normal 2" xfId="7" xr:uid="{A0FCCDE8-279F-43EB-8E5E-31466CB81F83}"/>
    <cellStyle name="Normal 2 2" xfId="15" xr:uid="{10581963-0465-4DD3-BA2B-CC7758904780}"/>
    <cellStyle name="Normal 2 2 2" xfId="70" xr:uid="{4FBCB6EE-5AE4-4459-8D1C-C18C0E4C20AE}"/>
    <cellStyle name="Normal 2 3" xfId="18" xr:uid="{14AEF22E-7FB1-425A-A6C0-AA64C9458DE0}"/>
    <cellStyle name="Normal 3" xfId="11" xr:uid="{7D0F9871-41F1-40C9-902A-AF118A7CF9AB}"/>
    <cellStyle name="Normal 3 2" xfId="72" xr:uid="{17CF911D-2220-4972-8A32-EBDCDEB7C7FB}"/>
    <cellStyle name="Normal 3 3" xfId="71" xr:uid="{B6D73F93-2806-4A7C-8247-B34034D97649}"/>
    <cellStyle name="Normal 4" xfId="14" xr:uid="{F6C0FE52-E403-4FE4-AC6F-3D4848B77680}"/>
    <cellStyle name="Normal 4 2" xfId="73" xr:uid="{D13B5047-F860-4B5C-9F51-06FE2645588D}"/>
    <cellStyle name="Normal 5" xfId="67" xr:uid="{0009629B-A49C-4E86-A281-BAD6B417164D}"/>
    <cellStyle name="Normal 5 2" xfId="76" xr:uid="{973FC4AD-540C-4A14-AB8F-CF602E16B992}"/>
    <cellStyle name="Normal 6" xfId="6" xr:uid="{6D414510-0B20-4F14-A19A-A1FE1639F990}"/>
    <cellStyle name="Nota 2" xfId="55" xr:uid="{D43AAC34-BDD7-4DD0-A902-B446DB70388E}"/>
    <cellStyle name="Porcentagem" xfId="1" builtinId="5"/>
    <cellStyle name="Porcentagem 2" xfId="10" xr:uid="{63C6F10A-D439-4373-80E0-76E9D93D5399}"/>
    <cellStyle name="Porcentagem 2 2" xfId="16" xr:uid="{E00B43AD-36C2-4354-8C2C-2D650616D6F5}"/>
    <cellStyle name="Porcentagem 2 3" xfId="19" xr:uid="{0B6F8676-2115-4C25-8EA6-F7258752B17C}"/>
    <cellStyle name="Porcentagem 3" xfId="12" xr:uid="{C5114591-2EE0-4136-8710-AB0387BAC865}"/>
    <cellStyle name="Porcentagem 4" xfId="8" xr:uid="{BE7B953F-04FA-4D29-96BD-D5EA5FAEE876}"/>
    <cellStyle name="Saída 2" xfId="56" xr:uid="{3529D1F7-40B8-4717-A479-BCA5718FFF24}"/>
    <cellStyle name="Separador de m" xfId="57" xr:uid="{19EDF894-CF4A-449B-9164-395C8C11FAD4}"/>
    <cellStyle name="Separador de milhares 2" xfId="58" xr:uid="{099EB7CC-6BEE-488B-8C08-C88C2AAFA893}"/>
    <cellStyle name="Texto de Aviso 2" xfId="59" xr:uid="{71F629F2-8CFF-4BEE-9EB9-9DD85146C0C8}"/>
    <cellStyle name="Texto Explicativo 2" xfId="60" xr:uid="{1C19BBE6-A1F2-428F-AC79-681910DD1C3C}"/>
    <cellStyle name="Título 1 2" xfId="61" xr:uid="{C1955BEB-FB9B-4BA5-BA89-B708877A4242}"/>
    <cellStyle name="Título 2 2" xfId="62" xr:uid="{B16967A8-DF69-4352-BAC9-C510A7F281B9}"/>
    <cellStyle name="Título 3 2" xfId="63" xr:uid="{AE1CD41B-3BAB-45BA-8106-EDCDF8F0B28D}"/>
    <cellStyle name="Título 4 2" xfId="64" xr:uid="{1EB9D906-C2A1-4622-8BD8-F85471D41944}"/>
    <cellStyle name="Título 5" xfId="65" xr:uid="{8AEE7DCF-7BA2-4CB3-92FA-EF16C6A01ED8}"/>
    <cellStyle name="Total 2" xfId="66" xr:uid="{5F298B52-0E4B-4E7F-BA92-92737E18EF5B}"/>
    <cellStyle name="Vírgula" xfId="4" builtinId="3"/>
    <cellStyle name="Vírgula 2" xfId="9" xr:uid="{8644BDDD-1D48-42B7-BC05-597A10241590}"/>
    <cellStyle name="Vírgula 2 2" xfId="17" xr:uid="{7AB1D667-BD04-4A07-8064-99B6A34558E2}"/>
    <cellStyle name="Vírgula 2 3" xfId="20" xr:uid="{7CE729AB-3529-43D1-9792-175BE43FA46D}"/>
    <cellStyle name="Vírgula 2 3 2" xfId="79" xr:uid="{09B58EF7-19AB-40CC-AA2E-DA9162661374}"/>
    <cellStyle name="Vírgula 2 4" xfId="74" xr:uid="{BC45BC18-9D8A-4B85-AB59-DA5555D24F11}"/>
    <cellStyle name="Vírgula 2 4 2" xfId="83" xr:uid="{84530E2B-FB5A-40A2-B8DA-76BE23F17978}"/>
    <cellStyle name="Vírgula 3" xfId="13" xr:uid="{2C5D586D-7BCF-474F-A2AA-F1BC9646786C}"/>
    <cellStyle name="Vírgula 3 2" xfId="75" xr:uid="{F945E6DD-CA3B-4133-AD15-DA8BC9E0517B}"/>
    <cellStyle name="Vírgula 3 2 2" xfId="82" xr:uid="{F077176B-0F1B-44C5-83D3-D865B5470AD4}"/>
    <cellStyle name="Vírgula 4" xfId="68" xr:uid="{7239967D-54EA-4E04-9B11-1F9AA1F74C8F}"/>
    <cellStyle name="Vírgula 4 2" xfId="84" xr:uid="{9B3E9177-7E5F-4F91-A494-5CE0E3187C2E}"/>
    <cellStyle name="Vírgula 5" xfId="5" xr:uid="{1D7B29D1-E0B4-487B-A049-FB6B1431673E}"/>
    <cellStyle name="Vírgula 6" xfId="78" xr:uid="{15984484-71B5-4B28-84BE-98FD5E03637F}"/>
    <cellStyle name="Vírgula 6 2" xfId="81" xr:uid="{9413B123-F7EC-462B-A5FA-C477F4C7BB3F}"/>
    <cellStyle name="Vírgula 7" xfId="80" xr:uid="{E8D3A4EC-784B-4AF3-88CB-F5BE1C84E4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Resumo!$A$217:$A$264</c:f>
              <c:numCache>
                <c:formatCode>[$-416]mmm/yy</c:formatCode>
                <c:ptCount val="48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</c:numCache>
            </c:numRef>
          </c:cat>
          <c:val>
            <c:numRef>
              <c:f>Resumo!$B$217:$B$264</c:f>
              <c:numCache>
                <c:formatCode>[$-416]0.00</c:formatCode>
                <c:ptCount val="48"/>
                <c:pt idx="0">
                  <c:v>95.330659999999995</c:v>
                </c:pt>
                <c:pt idx="1">
                  <c:v>98.66798</c:v>
                </c:pt>
                <c:pt idx="2">
                  <c:v>110.75572</c:v>
                </c:pt>
                <c:pt idx="3">
                  <c:v>103.9285</c:v>
                </c:pt>
                <c:pt idx="4">
                  <c:v>102.77970999999999</c:v>
                </c:pt>
                <c:pt idx="5">
                  <c:v>102.19604</c:v>
                </c:pt>
                <c:pt idx="6">
                  <c:v>105.3883</c:v>
                </c:pt>
                <c:pt idx="7">
                  <c:v>106.08987</c:v>
                </c:pt>
                <c:pt idx="8">
                  <c:v>101.78716</c:v>
                </c:pt>
                <c:pt idx="9">
                  <c:v>101.93974</c:v>
                </c:pt>
                <c:pt idx="10">
                  <c:v>101.61999</c:v>
                </c:pt>
                <c:pt idx="11">
                  <c:v>101.63032</c:v>
                </c:pt>
                <c:pt idx="12">
                  <c:v>99.371009999999998</c:v>
                </c:pt>
                <c:pt idx="13">
                  <c:v>102.27696</c:v>
                </c:pt>
                <c:pt idx="14">
                  <c:v>109.7783</c:v>
                </c:pt>
                <c:pt idx="15">
                  <c:v>109.29640000000001</c:v>
                </c:pt>
                <c:pt idx="16">
                  <c:v>104.71253</c:v>
                </c:pt>
                <c:pt idx="17">
                  <c:v>105.80275</c:v>
                </c:pt>
                <c:pt idx="18">
                  <c:v>111.64756</c:v>
                </c:pt>
                <c:pt idx="19">
                  <c:v>110.1461</c:v>
                </c:pt>
                <c:pt idx="20">
                  <c:v>107.12451</c:v>
                </c:pt>
                <c:pt idx="21">
                  <c:v>109.17177</c:v>
                </c:pt>
                <c:pt idx="22">
                  <c:v>105.39655999999999</c:v>
                </c:pt>
                <c:pt idx="23">
                  <c:v>104.09766999999999</c:v>
                </c:pt>
                <c:pt idx="24">
                  <c:v>102.91442000000001</c:v>
                </c:pt>
                <c:pt idx="25">
                  <c:v>106.85842</c:v>
                </c:pt>
                <c:pt idx="26">
                  <c:v>113.93961</c:v>
                </c:pt>
                <c:pt idx="27">
                  <c:v>112.29850999999999</c:v>
                </c:pt>
                <c:pt idx="28">
                  <c:v>108.46495</c:v>
                </c:pt>
                <c:pt idx="29">
                  <c:v>107.22845</c:v>
                </c:pt>
                <c:pt idx="30">
                  <c:v>112.98350000000001</c:v>
                </c:pt>
                <c:pt idx="31">
                  <c:v>110.28542</c:v>
                </c:pt>
                <c:pt idx="32">
                  <c:v>109.44</c:v>
                </c:pt>
                <c:pt idx="33">
                  <c:v>109.61</c:v>
                </c:pt>
                <c:pt idx="34" formatCode="0.00">
                  <c:v>108.91478747862668</c:v>
                </c:pt>
                <c:pt idx="35" formatCode="0.00">
                  <c:v>108.9377496766182</c:v>
                </c:pt>
                <c:pt idx="36" formatCode="0.00">
                  <c:v>104.8452854630797</c:v>
                </c:pt>
                <c:pt idx="37" formatCode="0.00">
                  <c:v>107.42143408147395</c:v>
                </c:pt>
                <c:pt idx="38" formatCode="0.00">
                  <c:v>116.57575155544636</c:v>
                </c:pt>
                <c:pt idx="39" formatCode="0.00">
                  <c:v>112.93119775714344</c:v>
                </c:pt>
                <c:pt idx="40" formatCode="0.00">
                  <c:v>109.49528347114639</c:v>
                </c:pt>
                <c:pt idx="41" formatCode="0.00">
                  <c:v>110.36743017771018</c:v>
                </c:pt>
                <c:pt idx="42" formatCode="0.00">
                  <c:v>116.97938329318286</c:v>
                </c:pt>
                <c:pt idx="43" formatCode="0.00">
                  <c:v>111.40623846578903</c:v>
                </c:pt>
                <c:pt idx="44" formatCode="0.00">
                  <c:v>110.64427292102806</c:v>
                </c:pt>
                <c:pt idx="45" formatCode="0.00">
                  <c:v>108.69778575630502</c:v>
                </c:pt>
                <c:pt idx="46" formatCode="0.00">
                  <c:v>113.44430369929556</c:v>
                </c:pt>
                <c:pt idx="47" formatCode="0.00">
                  <c:v>113.4682208424389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7F-41F7-BAB4-EE6DB0DB0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901744"/>
        <c:axId val="1879903664"/>
      </c:lineChart>
      <c:dateAx>
        <c:axId val="1879901744"/>
        <c:scaling>
          <c:orientation val="minMax"/>
        </c:scaling>
        <c:delete val="0"/>
        <c:axPos val="b"/>
        <c:numFmt formatCode="[$-416]mmm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9903664"/>
        <c:crosses val="autoZero"/>
        <c:auto val="1"/>
        <c:lblOffset val="100"/>
        <c:baseTimeUnit val="months"/>
      </c:dateAx>
      <c:valAx>
        <c:axId val="1879903664"/>
        <c:scaling>
          <c:orientation val="minMax"/>
          <c:max val="12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16]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990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530679</xdr:colOff>
      <xdr:row>240</xdr:row>
      <xdr:rowOff>57150</xdr:rowOff>
    </xdr:from>
    <xdr:to>
      <xdr:col>21</xdr:col>
      <xdr:colOff>530679</xdr:colOff>
      <xdr:row>254</xdr:row>
      <xdr:rowOff>119743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A8D8D0-2E1B-6052-2A5B-BDD34D85E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runo Lopau Zulian" id="{5F042351-72AD-4A82-A4E7-C647FA5BD978}" userId="S::blzulian@fazenda.sp.gov.br::e7bb303e-89d2-4fe3-bb5f-755526b693cc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50" dT="2025-10-29T17:18:41.75" personId="{5F042351-72AD-4A82-A4E7-C647FA5BD978}" id="{21C55236-7D67-4CC3-A4B7-A533A5D416DC}">
    <text>Estimativa diaria contem PAP - Retirar PAP para insercao na serie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Q400"/>
  <sheetViews>
    <sheetView tabSelected="1" zoomScale="140" zoomScaleNormal="140" workbookViewId="0">
      <pane ySplit="1" topLeftCell="A245" activePane="bottomLeft" state="frozen"/>
      <selection pane="bottomLeft" activeCell="B251" sqref="B251:B264"/>
    </sheetView>
  </sheetViews>
  <sheetFormatPr defaultColWidth="11.42578125" defaultRowHeight="15"/>
  <cols>
    <col min="1" max="1" width="15.140625" style="46" customWidth="1"/>
    <col min="2" max="2" width="14.28515625" style="52" customWidth="1"/>
    <col min="3" max="3" width="8.85546875" style="52" customWidth="1"/>
    <col min="4" max="4" width="10.5703125" style="50" customWidth="1"/>
    <col min="5" max="6" width="7.42578125" style="50" hidden="1" customWidth="1"/>
    <col min="7" max="7" width="4.42578125" style="50" hidden="1" customWidth="1"/>
    <col min="8" max="8" width="9.42578125" style="50" hidden="1" customWidth="1"/>
    <col min="9" max="9" width="14.140625" style="46" hidden="1" customWidth="1"/>
    <col min="10" max="10" width="8" style="46" hidden="1" customWidth="1"/>
    <col min="11" max="11" width="6.140625" style="46" hidden="1" customWidth="1"/>
    <col min="12" max="12" width="4.42578125" style="46" hidden="1" customWidth="1"/>
    <col min="13" max="13" width="0.140625" style="46" hidden="1" customWidth="1"/>
    <col min="14" max="14" width="24.85546875" style="46" customWidth="1"/>
    <col min="15" max="16384" width="11.42578125" style="46"/>
  </cols>
  <sheetData>
    <row r="1" spans="1:14" ht="15.75">
      <c r="A1" s="44" t="s">
        <v>0</v>
      </c>
      <c r="B1" s="44" t="s">
        <v>12</v>
      </c>
      <c r="C1" s="44" t="s">
        <v>1</v>
      </c>
      <c r="D1" s="45" t="s">
        <v>27</v>
      </c>
      <c r="E1" s="45" t="s">
        <v>43</v>
      </c>
      <c r="F1" s="45"/>
      <c r="G1" s="45"/>
      <c r="H1" s="45"/>
      <c r="I1" s="45" t="s">
        <v>41</v>
      </c>
      <c r="J1" s="45" t="s">
        <v>42</v>
      </c>
      <c r="K1" s="45" t="s">
        <v>44</v>
      </c>
      <c r="M1" s="47"/>
      <c r="N1" s="45" t="s">
        <v>55</v>
      </c>
    </row>
    <row r="2" spans="1:14" ht="15.75">
      <c r="A2" s="48">
        <v>38384</v>
      </c>
      <c r="B2" s="65">
        <v>73.002859999999998</v>
      </c>
      <c r="C2" s="49">
        <v>329.24099999999999</v>
      </c>
      <c r="D2" s="106">
        <v>3877.7236551000001</v>
      </c>
      <c r="E2" s="50">
        <f t="shared" ref="E2:E65" si="0">D2+K2</f>
        <v>4013.6880051000003</v>
      </c>
      <c r="F2" s="84"/>
      <c r="G2" s="84"/>
      <c r="H2" s="84"/>
      <c r="I2" s="68">
        <v>22.29928</v>
      </c>
      <c r="J2" s="68">
        <v>113.66507</v>
      </c>
      <c r="K2" s="68">
        <f>I2+J2</f>
        <v>135.96435</v>
      </c>
      <c r="M2" s="47"/>
      <c r="N2" s="108">
        <f>D2*1000000</f>
        <v>3877723655.0999999</v>
      </c>
    </row>
    <row r="3" spans="1:14" ht="15.75">
      <c r="A3" s="48">
        <v>38412</v>
      </c>
      <c r="B3" s="65">
        <v>81.018249999999995</v>
      </c>
      <c r="C3" s="49">
        <v>332.49</v>
      </c>
      <c r="D3" s="106">
        <v>3987.7631904600003</v>
      </c>
      <c r="E3" s="50">
        <f t="shared" si="0"/>
        <v>4138.6993404599998</v>
      </c>
      <c r="F3" s="84"/>
      <c r="G3" s="84"/>
      <c r="H3" s="84"/>
      <c r="I3" s="68">
        <v>28.869610000000002</v>
      </c>
      <c r="J3" s="68">
        <v>122.06653999999999</v>
      </c>
      <c r="K3" s="68">
        <f t="shared" ref="K3:K66" si="1">I3+J3</f>
        <v>150.93615</v>
      </c>
      <c r="M3" s="47"/>
      <c r="N3" s="108">
        <f t="shared" ref="N3:N66" si="2">D3*1000000</f>
        <v>3987763190.46</v>
      </c>
    </row>
    <row r="4" spans="1:14" ht="15.75">
      <c r="A4" s="48">
        <v>38443</v>
      </c>
      <c r="B4" s="65">
        <v>78.862269999999995</v>
      </c>
      <c r="C4" s="49">
        <v>334.17</v>
      </c>
      <c r="D4" s="106">
        <v>4165.2360577700001</v>
      </c>
      <c r="E4" s="50">
        <f t="shared" si="0"/>
        <v>4363.2530877700001</v>
      </c>
      <c r="F4" s="84"/>
      <c r="G4" s="84"/>
      <c r="H4" s="84"/>
      <c r="I4" s="68">
        <v>32.688099999999999</v>
      </c>
      <c r="J4" s="68">
        <v>165.32892999999999</v>
      </c>
      <c r="K4" s="68">
        <f t="shared" si="1"/>
        <v>198.01702999999998</v>
      </c>
      <c r="M4" s="47"/>
      <c r="N4" s="108">
        <f t="shared" si="2"/>
        <v>4165236057.77</v>
      </c>
    </row>
    <row r="5" spans="1:14" ht="15.75">
      <c r="A5" s="48">
        <v>38473</v>
      </c>
      <c r="B5" s="65">
        <v>77.815780000000004</v>
      </c>
      <c r="C5" s="49">
        <v>333.32100000000003</v>
      </c>
      <c r="D5" s="106">
        <v>4065.2090785099999</v>
      </c>
      <c r="E5" s="50">
        <f t="shared" si="0"/>
        <v>4244.0884485099996</v>
      </c>
      <c r="F5" s="84"/>
      <c r="G5" s="84"/>
      <c r="H5" s="84"/>
      <c r="I5" s="68">
        <v>38.84619</v>
      </c>
      <c r="J5" s="68">
        <v>140.03317999999999</v>
      </c>
      <c r="K5" s="68">
        <f t="shared" si="1"/>
        <v>178.87936999999999</v>
      </c>
      <c r="M5" s="47"/>
      <c r="N5" s="108">
        <f t="shared" si="2"/>
        <v>4065209078.5099998</v>
      </c>
    </row>
    <row r="6" spans="1:14" ht="15.75">
      <c r="A6" s="48">
        <v>38504</v>
      </c>
      <c r="B6" s="65">
        <v>78.261669999999995</v>
      </c>
      <c r="C6" s="49">
        <v>331.82299999999998</v>
      </c>
      <c r="D6" s="106">
        <v>4129.9117145199998</v>
      </c>
      <c r="E6" s="50">
        <f t="shared" si="0"/>
        <v>4346.2800345199994</v>
      </c>
      <c r="F6" s="84"/>
      <c r="G6" s="84"/>
      <c r="H6" s="84"/>
      <c r="I6" s="68">
        <v>40.311959999999999</v>
      </c>
      <c r="J6" s="68">
        <v>176.05635999999998</v>
      </c>
      <c r="K6" s="68">
        <f t="shared" si="1"/>
        <v>216.36831999999998</v>
      </c>
      <c r="M6" s="47"/>
      <c r="N6" s="108">
        <f t="shared" si="2"/>
        <v>4129911714.52</v>
      </c>
    </row>
    <row r="7" spans="1:14" ht="15.75">
      <c r="A7" s="48">
        <v>38534</v>
      </c>
      <c r="B7" s="65">
        <v>79.424629999999993</v>
      </c>
      <c r="C7" s="49">
        <v>330.48399999999998</v>
      </c>
      <c r="D7" s="106">
        <v>4103.8061905300001</v>
      </c>
      <c r="E7" s="50">
        <f t="shared" si="0"/>
        <v>4336.0481905300003</v>
      </c>
      <c r="F7" s="84"/>
      <c r="G7" s="84"/>
      <c r="H7" s="84"/>
      <c r="I7" s="68">
        <v>30.995740000000001</v>
      </c>
      <c r="J7" s="68">
        <v>201.24626000000001</v>
      </c>
      <c r="K7" s="68">
        <f t="shared" si="1"/>
        <v>232.24200000000002</v>
      </c>
      <c r="M7" s="47"/>
      <c r="N7" s="108">
        <f t="shared" si="2"/>
        <v>4103806190.5300002</v>
      </c>
    </row>
    <row r="8" spans="1:14" ht="15.75">
      <c r="A8" s="48">
        <v>38565</v>
      </c>
      <c r="B8" s="65">
        <v>80.827809999999999</v>
      </c>
      <c r="C8" s="49">
        <v>327.887</v>
      </c>
      <c r="D8" s="106">
        <v>4157.0969005900006</v>
      </c>
      <c r="E8" s="50">
        <f t="shared" si="0"/>
        <v>4397.2244805900009</v>
      </c>
      <c r="F8" s="84"/>
      <c r="G8" s="84"/>
      <c r="H8" s="84"/>
      <c r="I8" s="68">
        <v>34.932079999999999</v>
      </c>
      <c r="J8" s="68">
        <v>205.19550000000001</v>
      </c>
      <c r="K8" s="68">
        <f t="shared" si="1"/>
        <v>240.12758000000002</v>
      </c>
      <c r="M8" s="47"/>
      <c r="N8" s="108">
        <f t="shared" si="2"/>
        <v>4157096900.5900006</v>
      </c>
    </row>
    <row r="9" spans="1:14" ht="15.75">
      <c r="A9" s="48">
        <v>38596</v>
      </c>
      <c r="B9" s="65">
        <v>77.880610000000004</v>
      </c>
      <c r="C9" s="49">
        <v>327.45400000000001</v>
      </c>
      <c r="D9" s="106">
        <v>4308.0148950699995</v>
      </c>
      <c r="E9" s="50">
        <f t="shared" si="0"/>
        <v>4534.1829650699992</v>
      </c>
      <c r="F9" s="84"/>
      <c r="G9" s="84"/>
      <c r="H9" s="84"/>
      <c r="I9" s="68">
        <v>25.162089999999999</v>
      </c>
      <c r="J9" s="68">
        <v>201.00598000000002</v>
      </c>
      <c r="K9" s="68">
        <f t="shared" si="1"/>
        <v>226.16807000000003</v>
      </c>
      <c r="M9" s="47"/>
      <c r="N9" s="108">
        <f t="shared" si="2"/>
        <v>4308014895.0699997</v>
      </c>
    </row>
    <row r="10" spans="1:14" ht="15.75">
      <c r="A10" s="48">
        <v>38626</v>
      </c>
      <c r="B10" s="65">
        <v>78.144729999999996</v>
      </c>
      <c r="C10" s="49">
        <v>329.529</v>
      </c>
      <c r="D10" s="106">
        <v>4337.2262254899997</v>
      </c>
      <c r="E10" s="50">
        <f t="shared" si="0"/>
        <v>4559.27942549</v>
      </c>
      <c r="F10" s="84"/>
      <c r="G10" s="84"/>
      <c r="H10" s="84"/>
      <c r="I10" s="68">
        <v>24.92755</v>
      </c>
      <c r="J10" s="68">
        <v>197.12565000000001</v>
      </c>
      <c r="K10" s="68">
        <f t="shared" si="1"/>
        <v>222.0532</v>
      </c>
      <c r="M10" s="47"/>
      <c r="N10" s="108">
        <f t="shared" si="2"/>
        <v>4337226225.4899998</v>
      </c>
    </row>
    <row r="11" spans="1:14" ht="15.75">
      <c r="A11" s="48">
        <v>38657</v>
      </c>
      <c r="B11" s="65">
        <v>78.427989999999994</v>
      </c>
      <c r="C11" s="49">
        <v>330.61900000000003</v>
      </c>
      <c r="D11" s="106">
        <v>4367.00242136</v>
      </c>
      <c r="E11" s="50">
        <f t="shared" si="0"/>
        <v>4583.1674613599998</v>
      </c>
      <c r="F11" s="84"/>
      <c r="G11" s="84"/>
      <c r="H11" s="84"/>
      <c r="I11" s="68">
        <v>31.359439999999999</v>
      </c>
      <c r="J11" s="68">
        <v>184.8056</v>
      </c>
      <c r="K11" s="68">
        <f t="shared" si="1"/>
        <v>216.16504</v>
      </c>
      <c r="M11" s="47"/>
      <c r="N11" s="108">
        <f t="shared" si="2"/>
        <v>4367002421.3599997</v>
      </c>
    </row>
    <row r="12" spans="1:14" ht="15.75">
      <c r="A12" s="48">
        <v>38687</v>
      </c>
      <c r="B12" s="65">
        <v>78.089860000000002</v>
      </c>
      <c r="C12" s="49">
        <v>330.83499999999998</v>
      </c>
      <c r="D12" s="106">
        <v>4540.3545242200007</v>
      </c>
      <c r="E12" s="50">
        <f t="shared" si="0"/>
        <v>4661.1618842200005</v>
      </c>
      <c r="F12" s="84"/>
      <c r="G12" s="84"/>
      <c r="H12" s="84"/>
      <c r="I12" s="68">
        <v>29.90822</v>
      </c>
      <c r="J12" s="68">
        <v>90.899140000000003</v>
      </c>
      <c r="K12" s="68">
        <f t="shared" si="1"/>
        <v>120.80736</v>
      </c>
      <c r="M12" s="47"/>
      <c r="N12" s="108">
        <f t="shared" si="2"/>
        <v>4540354524.2200003</v>
      </c>
    </row>
    <row r="13" spans="1:14" ht="15.75">
      <c r="A13" s="48">
        <v>38718</v>
      </c>
      <c r="B13" s="65">
        <v>76.196520000000007</v>
      </c>
      <c r="C13" s="49">
        <v>333.22199999999998</v>
      </c>
      <c r="D13" s="106">
        <v>4500.8554451500004</v>
      </c>
      <c r="E13" s="50">
        <f t="shared" si="0"/>
        <v>4690.7375751500003</v>
      </c>
      <c r="F13" s="84"/>
      <c r="G13" s="84"/>
      <c r="H13" s="84"/>
      <c r="I13" s="51">
        <v>34.520789999999998</v>
      </c>
      <c r="J13" s="51">
        <v>155.36133999999998</v>
      </c>
      <c r="K13" s="51">
        <f t="shared" si="1"/>
        <v>189.88212999999999</v>
      </c>
      <c r="M13" s="47"/>
      <c r="N13" s="108">
        <f t="shared" si="2"/>
        <v>4500855445.1500006</v>
      </c>
    </row>
    <row r="14" spans="1:14" ht="15.75">
      <c r="A14" s="48">
        <v>38749</v>
      </c>
      <c r="B14" s="65">
        <v>75.665700000000001</v>
      </c>
      <c r="C14" s="49">
        <v>333.03</v>
      </c>
      <c r="D14" s="106">
        <v>4183.6161629199996</v>
      </c>
      <c r="E14" s="50">
        <f t="shared" si="0"/>
        <v>4395.8406129199993</v>
      </c>
      <c r="F14" s="84"/>
      <c r="G14" s="84"/>
      <c r="H14" s="84"/>
      <c r="I14" s="51">
        <v>36.292940000000002</v>
      </c>
      <c r="J14" s="51">
        <v>175.93151</v>
      </c>
      <c r="K14" s="51">
        <f t="shared" si="1"/>
        <v>212.22444999999999</v>
      </c>
      <c r="M14" s="47"/>
      <c r="N14" s="108">
        <f t="shared" si="2"/>
        <v>4183616162.9199996</v>
      </c>
    </row>
    <row r="15" spans="1:14" ht="15.75">
      <c r="A15" s="48">
        <v>38777</v>
      </c>
      <c r="B15" s="65">
        <v>83.594589999999997</v>
      </c>
      <c r="C15" s="49">
        <v>331.53100000000001</v>
      </c>
      <c r="D15" s="106">
        <v>4294.5169876700002</v>
      </c>
      <c r="E15" s="50">
        <f t="shared" si="0"/>
        <v>4492.1881576699998</v>
      </c>
      <c r="F15" s="84"/>
      <c r="G15" s="84"/>
      <c r="H15" s="84"/>
      <c r="I15" s="51">
        <v>28.347740000000002</v>
      </c>
      <c r="J15" s="51">
        <v>169.32343</v>
      </c>
      <c r="K15" s="51">
        <f t="shared" si="1"/>
        <v>197.67117000000002</v>
      </c>
      <c r="M15" s="47"/>
      <c r="N15" s="108">
        <f t="shared" si="2"/>
        <v>4294516987.6700001</v>
      </c>
    </row>
    <row r="16" spans="1:14" ht="15.75">
      <c r="A16" s="48">
        <v>38808</v>
      </c>
      <c r="B16" s="65">
        <v>79.045060000000007</v>
      </c>
      <c r="C16" s="49">
        <v>331.60700000000003</v>
      </c>
      <c r="D16" s="106">
        <v>4438.7850489700004</v>
      </c>
      <c r="E16" s="50">
        <f t="shared" si="0"/>
        <v>4644.5520689700006</v>
      </c>
      <c r="F16" s="84"/>
      <c r="G16" s="84"/>
      <c r="H16" s="84"/>
      <c r="I16" s="51">
        <v>30.877560000000003</v>
      </c>
      <c r="J16" s="51">
        <v>174.88945999999999</v>
      </c>
      <c r="K16" s="51">
        <f t="shared" si="1"/>
        <v>205.76702</v>
      </c>
      <c r="M16" s="47"/>
      <c r="N16" s="108">
        <f t="shared" si="2"/>
        <v>4438785048.9700003</v>
      </c>
    </row>
    <row r="17" spans="1:14" ht="15.75">
      <c r="A17" s="48">
        <v>38838</v>
      </c>
      <c r="B17" s="65">
        <v>82.258529999999993</v>
      </c>
      <c r="C17" s="49">
        <v>332.851</v>
      </c>
      <c r="D17" s="106">
        <v>4527.0371980600003</v>
      </c>
      <c r="E17" s="50">
        <f t="shared" si="0"/>
        <v>4706.4679580600005</v>
      </c>
      <c r="F17" s="84"/>
      <c r="G17" s="84"/>
      <c r="H17" s="84"/>
      <c r="I17" s="51">
        <v>30.965490000000003</v>
      </c>
      <c r="J17" s="51">
        <v>148.46526999999998</v>
      </c>
      <c r="K17" s="51">
        <f t="shared" si="1"/>
        <v>179.43075999999996</v>
      </c>
      <c r="M17" s="47"/>
      <c r="N17" s="108">
        <f t="shared" si="2"/>
        <v>4527037198.0600004</v>
      </c>
    </row>
    <row r="18" spans="1:14" ht="15.75">
      <c r="A18" s="48">
        <v>38869</v>
      </c>
      <c r="B18" s="65">
        <v>80.300240000000002</v>
      </c>
      <c r="C18" s="49">
        <v>335.06700000000001</v>
      </c>
      <c r="D18" s="106">
        <v>4516.9931175000002</v>
      </c>
      <c r="E18" s="50">
        <f t="shared" si="0"/>
        <v>4757.6516275000004</v>
      </c>
      <c r="F18" s="84"/>
      <c r="G18" s="84"/>
      <c r="H18" s="84"/>
      <c r="I18" s="51">
        <v>39.164919999999995</v>
      </c>
      <c r="J18" s="51">
        <v>201.49358999999998</v>
      </c>
      <c r="K18" s="51">
        <f t="shared" si="1"/>
        <v>240.65850999999998</v>
      </c>
      <c r="M18" s="47"/>
      <c r="N18" s="108">
        <f t="shared" si="2"/>
        <v>4516993117.5</v>
      </c>
    </row>
    <row r="19" spans="1:14" ht="15.75">
      <c r="A19" s="48">
        <v>38899</v>
      </c>
      <c r="B19" s="65">
        <v>83.813429999999997</v>
      </c>
      <c r="C19" s="49">
        <v>335.637</v>
      </c>
      <c r="D19" s="106">
        <v>4389.3107885199997</v>
      </c>
      <c r="E19" s="50">
        <f t="shared" si="0"/>
        <v>4637.3596585199994</v>
      </c>
      <c r="F19" s="84"/>
      <c r="G19" s="84"/>
      <c r="H19" s="84"/>
      <c r="I19" s="51">
        <v>33.244239999999998</v>
      </c>
      <c r="J19" s="51">
        <v>214.80463</v>
      </c>
      <c r="K19" s="51">
        <f t="shared" si="1"/>
        <v>248.04886999999999</v>
      </c>
      <c r="M19" s="47"/>
      <c r="N19" s="108">
        <f t="shared" si="2"/>
        <v>4389310788.5199995</v>
      </c>
    </row>
    <row r="20" spans="1:14" ht="15.75">
      <c r="A20" s="48">
        <v>38930</v>
      </c>
      <c r="B20" s="65">
        <v>84.977189999999993</v>
      </c>
      <c r="C20" s="49">
        <v>337.01100000000002</v>
      </c>
      <c r="D20" s="106">
        <v>4500.3999175199997</v>
      </c>
      <c r="E20" s="50">
        <f t="shared" si="0"/>
        <v>4732.1755875199997</v>
      </c>
      <c r="F20" s="84"/>
      <c r="G20" s="84"/>
      <c r="H20" s="84"/>
      <c r="I20" s="51">
        <v>34.530819999999999</v>
      </c>
      <c r="J20" s="51">
        <v>197.24485000000001</v>
      </c>
      <c r="K20" s="51">
        <f t="shared" si="1"/>
        <v>231.77567000000002</v>
      </c>
      <c r="M20" s="47"/>
      <c r="N20" s="108">
        <f t="shared" si="2"/>
        <v>4500399917.5199995</v>
      </c>
    </row>
    <row r="21" spans="1:14" ht="15.75">
      <c r="A21" s="48">
        <v>38961</v>
      </c>
      <c r="B21" s="65">
        <v>81.573880000000003</v>
      </c>
      <c r="C21" s="49">
        <v>337.81700000000001</v>
      </c>
      <c r="D21" s="106">
        <v>4669.9492687000002</v>
      </c>
      <c r="E21" s="50">
        <f t="shared" si="0"/>
        <v>4912.8099687000004</v>
      </c>
      <c r="F21" s="84"/>
      <c r="G21" s="84"/>
      <c r="H21" s="84"/>
      <c r="I21" s="51">
        <v>36.464790000000001</v>
      </c>
      <c r="J21" s="51">
        <v>206.39591000000001</v>
      </c>
      <c r="K21" s="51">
        <f t="shared" si="1"/>
        <v>242.86070000000001</v>
      </c>
      <c r="M21" s="47"/>
      <c r="N21" s="108">
        <f t="shared" si="2"/>
        <v>4669949268.6999998</v>
      </c>
    </row>
    <row r="22" spans="1:14" ht="15.75">
      <c r="A22" s="48">
        <v>38991</v>
      </c>
      <c r="B22" s="65">
        <v>83.760069999999999</v>
      </c>
      <c r="C22" s="49">
        <v>340.541</v>
      </c>
      <c r="D22" s="106">
        <v>4712.93903512</v>
      </c>
      <c r="E22" s="50">
        <f t="shared" si="0"/>
        <v>4934.2155151200004</v>
      </c>
      <c r="F22" s="84"/>
      <c r="G22" s="84"/>
      <c r="H22" s="84"/>
      <c r="I22" s="51">
        <v>37.268239999999999</v>
      </c>
      <c r="J22" s="51">
        <v>184.00824</v>
      </c>
      <c r="K22" s="51">
        <f t="shared" si="1"/>
        <v>221.27647999999999</v>
      </c>
      <c r="M22" s="47"/>
      <c r="N22" s="108">
        <f t="shared" si="2"/>
        <v>4712939035.1199999</v>
      </c>
    </row>
    <row r="23" spans="1:14" ht="15.75">
      <c r="A23" s="48">
        <v>39022</v>
      </c>
      <c r="B23" s="65">
        <v>83.298069999999996</v>
      </c>
      <c r="C23" s="49">
        <v>342.48200000000003</v>
      </c>
      <c r="D23" s="106">
        <v>4766.4347943499997</v>
      </c>
      <c r="E23" s="50">
        <f t="shared" si="0"/>
        <v>4978.3045343499998</v>
      </c>
      <c r="F23" s="84"/>
      <c r="G23" s="84"/>
      <c r="H23" s="84"/>
      <c r="I23" s="51">
        <v>33.294640000000001</v>
      </c>
      <c r="J23" s="51">
        <v>178.57509999999999</v>
      </c>
      <c r="K23" s="51">
        <f t="shared" si="1"/>
        <v>211.86973999999998</v>
      </c>
      <c r="M23" s="47"/>
      <c r="N23" s="108">
        <f t="shared" si="2"/>
        <v>4766434794.3499994</v>
      </c>
    </row>
    <row r="24" spans="1:14" ht="15.75">
      <c r="A24" s="48">
        <v>39052</v>
      </c>
      <c r="B24" s="65">
        <v>81.636660000000006</v>
      </c>
      <c r="C24" s="49">
        <v>343.38400000000001</v>
      </c>
      <c r="D24" s="106">
        <v>4820.7780270499998</v>
      </c>
      <c r="E24" s="50">
        <f t="shared" si="0"/>
        <v>5027.7643970499994</v>
      </c>
      <c r="F24" s="84"/>
      <c r="G24" s="84"/>
      <c r="H24" s="84"/>
      <c r="I24" s="51">
        <v>28.531009999999998</v>
      </c>
      <c r="J24" s="51">
        <v>178.45535999999998</v>
      </c>
      <c r="K24" s="51">
        <f t="shared" si="1"/>
        <v>206.98636999999999</v>
      </c>
      <c r="M24" s="47"/>
      <c r="N24" s="108">
        <f t="shared" si="2"/>
        <v>4820778027.0500002</v>
      </c>
    </row>
    <row r="25" spans="1:14" ht="15.75">
      <c r="A25" s="48">
        <v>39083</v>
      </c>
      <c r="B25" s="65">
        <v>80.570859999999996</v>
      </c>
      <c r="C25" s="49">
        <v>344.85</v>
      </c>
      <c r="D25" s="106">
        <v>4980.5975297300001</v>
      </c>
      <c r="E25" s="50">
        <f t="shared" si="0"/>
        <v>5171.01508973</v>
      </c>
      <c r="F25" s="84"/>
      <c r="G25" s="84"/>
      <c r="H25" s="84"/>
      <c r="I25" s="68">
        <v>38.192190000000004</v>
      </c>
      <c r="J25" s="68">
        <v>152.22537</v>
      </c>
      <c r="K25" s="68">
        <f t="shared" si="1"/>
        <v>190.41756000000001</v>
      </c>
      <c r="M25" s="47"/>
      <c r="N25" s="108">
        <f t="shared" si="2"/>
        <v>4980597529.7300005</v>
      </c>
    </row>
    <row r="26" spans="1:14" ht="15.75">
      <c r="A26" s="48">
        <v>39114</v>
      </c>
      <c r="B26" s="65">
        <v>79.547049999999999</v>
      </c>
      <c r="C26" s="49">
        <v>345.65199999999999</v>
      </c>
      <c r="D26" s="106">
        <v>4689.4892717000002</v>
      </c>
      <c r="E26" s="50">
        <f t="shared" si="0"/>
        <v>4919.5919917000001</v>
      </c>
      <c r="F26" s="84"/>
      <c r="G26" s="84"/>
      <c r="H26" s="84"/>
      <c r="I26" s="68">
        <v>40.540900000000001</v>
      </c>
      <c r="J26" s="68">
        <v>189.56182000000001</v>
      </c>
      <c r="K26" s="68">
        <f t="shared" si="1"/>
        <v>230.10272000000001</v>
      </c>
      <c r="M26" s="47"/>
      <c r="N26" s="108">
        <f t="shared" si="2"/>
        <v>4689489271.6999998</v>
      </c>
    </row>
    <row r="27" spans="1:14" ht="15.75">
      <c r="A27" s="48">
        <v>39142</v>
      </c>
      <c r="B27" s="65">
        <v>87.815790000000007</v>
      </c>
      <c r="C27" s="49">
        <v>346.40699999999998</v>
      </c>
      <c r="D27" s="106">
        <v>4610.9788273599997</v>
      </c>
      <c r="E27" s="50">
        <f t="shared" si="0"/>
        <v>4804.5340673599994</v>
      </c>
      <c r="F27" s="84"/>
      <c r="G27" s="84"/>
      <c r="H27" s="84"/>
      <c r="I27" s="68">
        <v>29.486840000000001</v>
      </c>
      <c r="J27" s="68">
        <v>164.0684</v>
      </c>
      <c r="K27" s="68">
        <f t="shared" si="1"/>
        <v>193.55524</v>
      </c>
      <c r="M27" s="47"/>
      <c r="N27" s="108">
        <f t="shared" si="2"/>
        <v>4610978827.3599997</v>
      </c>
    </row>
    <row r="28" spans="1:14" ht="15.75">
      <c r="A28" s="48">
        <v>39173</v>
      </c>
      <c r="B28" s="65">
        <v>84.43683</v>
      </c>
      <c r="C28" s="49">
        <v>346.87799999999999</v>
      </c>
      <c r="D28" s="106">
        <v>4909.1666248600004</v>
      </c>
      <c r="E28" s="50">
        <f t="shared" si="0"/>
        <v>5123.5687048600003</v>
      </c>
      <c r="F28" s="84"/>
      <c r="G28" s="84"/>
      <c r="H28" s="84"/>
      <c r="I28" s="68">
        <v>27.673299999999998</v>
      </c>
      <c r="J28" s="68">
        <v>186.72878</v>
      </c>
      <c r="K28" s="68">
        <f t="shared" si="1"/>
        <v>214.40208000000001</v>
      </c>
      <c r="M28" s="47"/>
      <c r="N28" s="108">
        <f t="shared" si="2"/>
        <v>4909166624.8600006</v>
      </c>
    </row>
    <row r="29" spans="1:14" ht="15.75">
      <c r="A29" s="48">
        <v>39203</v>
      </c>
      <c r="B29" s="65">
        <v>86.968879999999999</v>
      </c>
      <c r="C29" s="49">
        <v>347.42099999999999</v>
      </c>
      <c r="D29" s="106">
        <v>5092.6433280000001</v>
      </c>
      <c r="E29" s="50">
        <f t="shared" si="0"/>
        <v>5301.0381480000005</v>
      </c>
      <c r="F29" s="84"/>
      <c r="G29" s="84"/>
      <c r="H29" s="84"/>
      <c r="I29" s="68">
        <v>32.147220000000004</v>
      </c>
      <c r="J29" s="68">
        <v>176.24760000000001</v>
      </c>
      <c r="K29" s="68">
        <f t="shared" si="1"/>
        <v>208.39482000000001</v>
      </c>
      <c r="M29" s="47"/>
      <c r="N29" s="108">
        <f t="shared" si="2"/>
        <v>5092643328</v>
      </c>
    </row>
    <row r="30" spans="1:14" ht="15.75">
      <c r="A30" s="48">
        <v>39234</v>
      </c>
      <c r="B30" s="65">
        <v>85.897989999999993</v>
      </c>
      <c r="C30" s="49">
        <v>348.32799999999997</v>
      </c>
      <c r="D30" s="106">
        <v>5037.8117803900004</v>
      </c>
      <c r="E30" s="50">
        <f t="shared" si="0"/>
        <v>5252.2837403900003</v>
      </c>
      <c r="F30" s="84"/>
      <c r="G30" s="84"/>
      <c r="H30" s="84"/>
      <c r="I30" s="68">
        <v>26.151319999999998</v>
      </c>
      <c r="J30" s="68">
        <v>188.32064000000003</v>
      </c>
      <c r="K30" s="68">
        <f t="shared" si="1"/>
        <v>214.47196000000002</v>
      </c>
      <c r="M30" s="47"/>
      <c r="N30" s="108">
        <f t="shared" si="2"/>
        <v>5037811780.3900003</v>
      </c>
    </row>
    <row r="31" spans="1:14" ht="15.75">
      <c r="A31" s="48">
        <v>39264</v>
      </c>
      <c r="B31" s="65">
        <v>89.741849999999999</v>
      </c>
      <c r="C31" s="49">
        <v>349.62799999999999</v>
      </c>
      <c r="D31" s="106">
        <v>5112.7577228500004</v>
      </c>
      <c r="E31" s="50">
        <f t="shared" si="0"/>
        <v>5287.5553128500005</v>
      </c>
      <c r="F31" s="84"/>
      <c r="G31" s="84"/>
      <c r="H31" s="84"/>
      <c r="I31" s="68">
        <v>26.997529999999998</v>
      </c>
      <c r="J31" s="68">
        <v>147.80006</v>
      </c>
      <c r="K31" s="68">
        <f t="shared" si="1"/>
        <v>174.79759000000001</v>
      </c>
      <c r="M31" s="47"/>
      <c r="N31" s="108">
        <f t="shared" si="2"/>
        <v>5112757722.8500004</v>
      </c>
    </row>
    <row r="32" spans="1:14" ht="15.75">
      <c r="A32" s="48">
        <v>39295</v>
      </c>
      <c r="B32" s="65">
        <v>90.584289999999996</v>
      </c>
      <c r="C32" s="49">
        <v>354.495</v>
      </c>
      <c r="D32" s="106">
        <v>5210.7138981199996</v>
      </c>
      <c r="E32" s="50">
        <f t="shared" si="0"/>
        <v>5422.3436981199993</v>
      </c>
      <c r="F32" s="84"/>
      <c r="G32" s="84"/>
      <c r="H32" s="84"/>
      <c r="I32" s="68">
        <v>28.34937</v>
      </c>
      <c r="J32" s="68">
        <v>183.28043</v>
      </c>
      <c r="K32" s="68">
        <f t="shared" si="1"/>
        <v>211.62979999999999</v>
      </c>
      <c r="M32" s="47"/>
      <c r="N32" s="108">
        <f t="shared" si="2"/>
        <v>5210713898.1199999</v>
      </c>
    </row>
    <row r="33" spans="1:14" ht="15.75">
      <c r="A33" s="48">
        <v>39326</v>
      </c>
      <c r="B33" s="65">
        <v>86.503699999999995</v>
      </c>
      <c r="C33" s="49">
        <v>358.63299999999998</v>
      </c>
      <c r="D33" s="106">
        <v>5271.3353162200001</v>
      </c>
      <c r="E33" s="50">
        <f t="shared" si="0"/>
        <v>5526.6309662200001</v>
      </c>
      <c r="F33" s="84"/>
      <c r="G33" s="84"/>
      <c r="H33" s="84"/>
      <c r="I33" s="68">
        <v>38.560660000000006</v>
      </c>
      <c r="J33" s="68">
        <v>216.73498999999998</v>
      </c>
      <c r="K33" s="68">
        <f t="shared" si="1"/>
        <v>255.29564999999999</v>
      </c>
      <c r="M33" s="47"/>
      <c r="N33" s="108">
        <f t="shared" si="2"/>
        <v>5271335316.2200003</v>
      </c>
    </row>
    <row r="34" spans="1:14" ht="15.75">
      <c r="A34" s="48">
        <v>39356</v>
      </c>
      <c r="B34" s="65">
        <v>90.666870000000003</v>
      </c>
      <c r="C34" s="49">
        <v>361.30799999999999</v>
      </c>
      <c r="D34" s="106">
        <v>5276.54346231</v>
      </c>
      <c r="E34" s="50">
        <f t="shared" si="0"/>
        <v>5551.4460823099998</v>
      </c>
      <c r="F34" s="84"/>
      <c r="G34" s="84"/>
      <c r="H34" s="84"/>
      <c r="I34" s="68">
        <v>35.758989999999997</v>
      </c>
      <c r="J34" s="68">
        <v>239.14363</v>
      </c>
      <c r="K34" s="68">
        <f t="shared" si="1"/>
        <v>274.90262000000001</v>
      </c>
      <c r="M34" s="47"/>
      <c r="N34" s="108">
        <f t="shared" si="2"/>
        <v>5276543462.3100004</v>
      </c>
    </row>
    <row r="35" spans="1:14" ht="15.75">
      <c r="A35" s="48">
        <v>39387</v>
      </c>
      <c r="B35" s="65">
        <v>88.35736</v>
      </c>
      <c r="C35" s="49">
        <v>365.1</v>
      </c>
      <c r="D35" s="106">
        <v>5562.2824307299989</v>
      </c>
      <c r="E35" s="50">
        <f t="shared" si="0"/>
        <v>5803.1470107299992</v>
      </c>
      <c r="F35" s="84"/>
      <c r="G35" s="84"/>
      <c r="H35" s="84"/>
      <c r="I35" s="68">
        <v>41.551250000000003</v>
      </c>
      <c r="J35" s="68">
        <v>199.31332999999998</v>
      </c>
      <c r="K35" s="68">
        <f t="shared" si="1"/>
        <v>240.86457999999999</v>
      </c>
      <c r="M35" s="47"/>
      <c r="N35" s="108">
        <f t="shared" si="2"/>
        <v>5562282430.7299986</v>
      </c>
    </row>
    <row r="36" spans="1:14" ht="15.75">
      <c r="A36" s="48">
        <v>39417</v>
      </c>
      <c r="B36" s="65">
        <v>85.935829999999996</v>
      </c>
      <c r="C36" s="49">
        <v>370.48500000000001</v>
      </c>
      <c r="D36" s="106">
        <v>5638.9541293800003</v>
      </c>
      <c r="E36" s="50">
        <f t="shared" si="0"/>
        <v>5870.0821593800001</v>
      </c>
      <c r="F36" s="84"/>
      <c r="G36" s="84"/>
      <c r="H36" s="84"/>
      <c r="I36" s="68">
        <v>41.011749999999999</v>
      </c>
      <c r="J36" s="68">
        <v>190.11627999999999</v>
      </c>
      <c r="K36" s="68">
        <f t="shared" si="1"/>
        <v>231.12803</v>
      </c>
      <c r="M36" s="47"/>
      <c r="N36" s="108">
        <f t="shared" si="2"/>
        <v>5638954129.3800001</v>
      </c>
    </row>
    <row r="37" spans="1:14" ht="15.75">
      <c r="A37" s="48">
        <v>39448</v>
      </c>
      <c r="B37" s="65">
        <v>85.533330000000007</v>
      </c>
      <c r="C37" s="49">
        <v>374.13900000000001</v>
      </c>
      <c r="D37" s="106">
        <v>5887.6310460100003</v>
      </c>
      <c r="E37" s="50">
        <f t="shared" si="0"/>
        <v>6095.4050560100004</v>
      </c>
      <c r="F37" s="84"/>
      <c r="G37" s="84"/>
      <c r="H37" s="84"/>
      <c r="I37" s="51">
        <v>39.023009999999999</v>
      </c>
      <c r="J37" s="51">
        <v>168.751</v>
      </c>
      <c r="K37" s="51">
        <f t="shared" si="1"/>
        <v>207.77401</v>
      </c>
      <c r="M37" s="47"/>
      <c r="N37" s="108">
        <f t="shared" si="2"/>
        <v>5887631046.0100002</v>
      </c>
    </row>
    <row r="38" spans="1:14" ht="15.75">
      <c r="A38" s="48">
        <v>39479</v>
      </c>
      <c r="B38" s="65">
        <v>85.569010000000006</v>
      </c>
      <c r="C38" s="49">
        <v>375.55799999999999</v>
      </c>
      <c r="D38" s="106">
        <v>5412.9159067799992</v>
      </c>
      <c r="E38" s="50">
        <f t="shared" si="0"/>
        <v>5600.6494667799989</v>
      </c>
      <c r="F38" s="84"/>
      <c r="G38" s="84"/>
      <c r="H38" s="84"/>
      <c r="I38" s="51">
        <v>40.976649999999999</v>
      </c>
      <c r="J38" s="51">
        <v>146.75691</v>
      </c>
      <c r="K38" s="51">
        <f t="shared" si="1"/>
        <v>187.73356000000001</v>
      </c>
      <c r="M38" s="47"/>
      <c r="N38" s="108">
        <f t="shared" si="2"/>
        <v>5412915906.7799988</v>
      </c>
    </row>
    <row r="39" spans="1:14" ht="15.75">
      <c r="A39" s="48">
        <v>39508</v>
      </c>
      <c r="B39" s="65">
        <v>90.541229999999999</v>
      </c>
      <c r="C39" s="49">
        <v>378.19400000000002</v>
      </c>
      <c r="D39" s="106">
        <v>5282.66467827</v>
      </c>
      <c r="E39" s="50">
        <f t="shared" si="0"/>
        <v>5488.7254782700002</v>
      </c>
      <c r="F39" s="84"/>
      <c r="G39" s="84"/>
      <c r="H39" s="84"/>
      <c r="I39" s="51">
        <v>50.134589999999996</v>
      </c>
      <c r="J39" s="51">
        <v>155.92621</v>
      </c>
      <c r="K39" s="51">
        <f t="shared" si="1"/>
        <v>206.0608</v>
      </c>
      <c r="M39" s="47"/>
      <c r="N39" s="108">
        <f t="shared" si="2"/>
        <v>5282664678.2699995</v>
      </c>
    </row>
    <row r="40" spans="1:14" ht="15.75">
      <c r="A40" s="48">
        <v>39539</v>
      </c>
      <c r="B40" s="65">
        <v>90.884150000000005</v>
      </c>
      <c r="C40" s="49">
        <v>382.41399999999999</v>
      </c>
      <c r="D40" s="106">
        <v>5692.8207990599994</v>
      </c>
      <c r="E40" s="50">
        <f t="shared" si="0"/>
        <v>5889.6654590599992</v>
      </c>
      <c r="F40" s="84"/>
      <c r="G40" s="84"/>
      <c r="H40" s="84"/>
      <c r="I40" s="51">
        <v>66.662750000000003</v>
      </c>
      <c r="J40" s="51">
        <v>130.18191000000002</v>
      </c>
      <c r="K40" s="51">
        <f t="shared" si="1"/>
        <v>196.84466000000003</v>
      </c>
      <c r="M40" s="47"/>
      <c r="N40" s="108">
        <f t="shared" si="2"/>
        <v>5692820799.0599995</v>
      </c>
    </row>
    <row r="41" spans="1:14" ht="15.75">
      <c r="A41" s="48">
        <v>39569</v>
      </c>
      <c r="B41" s="65">
        <v>90.493639999999999</v>
      </c>
      <c r="C41" s="49">
        <v>389.58499999999998</v>
      </c>
      <c r="D41" s="106">
        <v>6151.4302799999996</v>
      </c>
      <c r="E41" s="50">
        <f t="shared" si="0"/>
        <v>6309.2543299999998</v>
      </c>
      <c r="F41" s="84"/>
      <c r="G41" s="84"/>
      <c r="H41" s="84"/>
      <c r="I41" s="51">
        <v>59.849730000000001</v>
      </c>
      <c r="J41" s="51">
        <v>97.974320000000006</v>
      </c>
      <c r="K41" s="51">
        <f t="shared" si="1"/>
        <v>157.82405</v>
      </c>
      <c r="M41" s="47"/>
      <c r="N41" s="108">
        <f t="shared" si="2"/>
        <v>6151430280</v>
      </c>
    </row>
    <row r="42" spans="1:14" ht="15.75">
      <c r="A42" s="48">
        <v>39600</v>
      </c>
      <c r="B42" s="65">
        <v>91.661779999999993</v>
      </c>
      <c r="C42" s="49">
        <v>396.95400000000001</v>
      </c>
      <c r="D42" s="106">
        <v>6324.9427900000001</v>
      </c>
      <c r="E42" s="50">
        <f t="shared" si="0"/>
        <v>6499.2110400000001</v>
      </c>
      <c r="F42" s="84"/>
      <c r="G42" s="84"/>
      <c r="H42" s="84"/>
      <c r="I42" s="51">
        <v>69.047190000000001</v>
      </c>
      <c r="J42" s="51">
        <v>105.22105999999999</v>
      </c>
      <c r="K42" s="51">
        <f t="shared" si="1"/>
        <v>174.26824999999999</v>
      </c>
      <c r="M42" s="47"/>
      <c r="N42" s="108">
        <f t="shared" si="2"/>
        <v>6324942790</v>
      </c>
    </row>
    <row r="43" spans="1:14" ht="15.75">
      <c r="A43" s="48">
        <v>39630</v>
      </c>
      <c r="B43" s="65">
        <v>95.836029999999994</v>
      </c>
      <c r="C43" s="49">
        <v>401.40600000000001</v>
      </c>
      <c r="D43" s="106">
        <v>6401.7307426999996</v>
      </c>
      <c r="E43" s="50">
        <f t="shared" si="0"/>
        <v>6563.4054026999993</v>
      </c>
      <c r="F43" s="84"/>
      <c r="G43" s="84"/>
      <c r="H43" s="84"/>
      <c r="I43" s="51">
        <v>60.648969999999998</v>
      </c>
      <c r="J43" s="51">
        <v>101.02569</v>
      </c>
      <c r="K43" s="51">
        <f t="shared" si="1"/>
        <v>161.67465999999999</v>
      </c>
      <c r="M43" s="47"/>
      <c r="N43" s="108">
        <f t="shared" si="2"/>
        <v>6401730742.6999998</v>
      </c>
    </row>
    <row r="44" spans="1:14" ht="15.75">
      <c r="A44" s="48">
        <v>39661</v>
      </c>
      <c r="B44" s="65">
        <v>93.967100000000002</v>
      </c>
      <c r="C44" s="49">
        <v>399.87</v>
      </c>
      <c r="D44" s="106">
        <v>6484.8605482499997</v>
      </c>
      <c r="E44" s="50">
        <f t="shared" si="0"/>
        <v>6654.0394882499995</v>
      </c>
      <c r="F44" s="84"/>
      <c r="G44" s="84"/>
      <c r="H44" s="84"/>
      <c r="I44" s="51">
        <v>68.613219999999998</v>
      </c>
      <c r="J44" s="51">
        <v>100.56572</v>
      </c>
      <c r="K44" s="51">
        <f t="shared" si="1"/>
        <v>169.17894000000001</v>
      </c>
      <c r="M44" s="47"/>
      <c r="N44" s="108">
        <f t="shared" si="2"/>
        <v>6484860548.25</v>
      </c>
    </row>
    <row r="45" spans="1:14" ht="15.75">
      <c r="A45" s="48">
        <v>39692</v>
      </c>
      <c r="B45" s="65">
        <v>93.075540000000004</v>
      </c>
      <c r="C45" s="49">
        <v>401.327</v>
      </c>
      <c r="D45" s="106">
        <v>6803.1656246000002</v>
      </c>
      <c r="E45" s="50">
        <f t="shared" si="0"/>
        <v>6977.1036445999998</v>
      </c>
      <c r="F45" s="84"/>
      <c r="G45" s="84"/>
      <c r="H45" s="84"/>
      <c r="I45" s="51">
        <v>75.513159999999999</v>
      </c>
      <c r="J45" s="51">
        <v>98.424859999999995</v>
      </c>
      <c r="K45" s="51">
        <f t="shared" si="1"/>
        <v>173.93801999999999</v>
      </c>
      <c r="M45" s="47"/>
      <c r="N45" s="108">
        <f t="shared" si="2"/>
        <v>6803165624.6000004</v>
      </c>
    </row>
    <row r="46" spans="1:14" ht="15.75">
      <c r="A46" s="48">
        <v>39722</v>
      </c>
      <c r="B46" s="65">
        <v>93.212760000000003</v>
      </c>
      <c r="C46" s="49">
        <v>405.70699999999999</v>
      </c>
      <c r="D46" s="106">
        <v>7166.5975723000001</v>
      </c>
      <c r="E46" s="50">
        <f t="shared" si="0"/>
        <v>7343.5882222999999</v>
      </c>
      <c r="F46" s="84"/>
      <c r="G46" s="84"/>
      <c r="H46" s="84"/>
      <c r="I46" s="51">
        <v>68.216329999999999</v>
      </c>
      <c r="J46" s="51">
        <v>108.77432</v>
      </c>
      <c r="K46" s="51">
        <f t="shared" si="1"/>
        <v>176.99065000000002</v>
      </c>
      <c r="M46" s="47"/>
      <c r="N46" s="108">
        <f t="shared" si="2"/>
        <v>7166597572.3000002</v>
      </c>
    </row>
    <row r="47" spans="1:14" ht="15.75">
      <c r="A47" s="48">
        <v>39753</v>
      </c>
      <c r="B47" s="65">
        <v>87.448040000000006</v>
      </c>
      <c r="C47" s="49">
        <v>405.98200000000003</v>
      </c>
      <c r="D47" s="106">
        <v>6353.4228227700005</v>
      </c>
      <c r="E47" s="50">
        <f t="shared" si="0"/>
        <v>6526.2242327700005</v>
      </c>
      <c r="F47" s="84"/>
      <c r="G47" s="84"/>
      <c r="H47" s="84"/>
      <c r="I47" s="51">
        <v>63.70288</v>
      </c>
      <c r="J47" s="51">
        <v>109.09853</v>
      </c>
      <c r="K47" s="51">
        <f t="shared" si="1"/>
        <v>172.80141</v>
      </c>
      <c r="M47" s="47"/>
      <c r="N47" s="108">
        <f t="shared" si="2"/>
        <v>6353422822.7700005</v>
      </c>
    </row>
    <row r="48" spans="1:14" ht="15.75">
      <c r="A48" s="48">
        <v>39783</v>
      </c>
      <c r="B48" s="65">
        <v>83.459029999999998</v>
      </c>
      <c r="C48" s="49">
        <v>404.185</v>
      </c>
      <c r="D48" s="106">
        <v>6542.0121571600002</v>
      </c>
      <c r="E48" s="50">
        <f t="shared" si="0"/>
        <v>6671.4032371600006</v>
      </c>
      <c r="F48" s="84"/>
      <c r="G48" s="84"/>
      <c r="H48" s="84"/>
      <c r="I48" s="51">
        <v>64.168040000000005</v>
      </c>
      <c r="J48" s="51">
        <v>65.223039999999997</v>
      </c>
      <c r="K48" s="51">
        <f t="shared" si="1"/>
        <v>129.39107999999999</v>
      </c>
      <c r="M48" s="47"/>
      <c r="N48" s="108">
        <f t="shared" si="2"/>
        <v>6542012157.1599998</v>
      </c>
    </row>
    <row r="49" spans="1:14" ht="15.75">
      <c r="A49" s="48">
        <v>39814</v>
      </c>
      <c r="B49" s="65">
        <v>80.860060000000004</v>
      </c>
      <c r="C49" s="49">
        <v>404.24400000000003</v>
      </c>
      <c r="D49" s="106">
        <v>5991.8302004599991</v>
      </c>
      <c r="E49" s="50">
        <f t="shared" si="0"/>
        <v>6166.6705004599989</v>
      </c>
      <c r="F49" s="84"/>
      <c r="G49" s="84"/>
      <c r="H49" s="84"/>
      <c r="I49" s="68">
        <v>109.16185</v>
      </c>
      <c r="J49" s="68">
        <v>65.678449999999998</v>
      </c>
      <c r="K49" s="68">
        <f t="shared" si="1"/>
        <v>174.84030000000001</v>
      </c>
      <c r="M49" s="47"/>
      <c r="N49" s="108">
        <f t="shared" si="2"/>
        <v>5991830200.4599991</v>
      </c>
    </row>
    <row r="50" spans="1:14" ht="15.75">
      <c r="A50" s="48">
        <v>39845</v>
      </c>
      <c r="B50" s="65">
        <v>80.900589999999994</v>
      </c>
      <c r="C50" s="49">
        <v>403.73700000000002</v>
      </c>
      <c r="D50" s="106">
        <v>5507.6045480699995</v>
      </c>
      <c r="E50" s="50">
        <f t="shared" si="0"/>
        <v>5622.9861280699997</v>
      </c>
      <c r="F50" s="84"/>
      <c r="G50" s="84"/>
      <c r="H50" s="84"/>
      <c r="I50" s="68">
        <v>48.466370000000005</v>
      </c>
      <c r="J50" s="68">
        <v>66.915210000000002</v>
      </c>
      <c r="K50" s="68">
        <f t="shared" si="1"/>
        <v>115.38158000000001</v>
      </c>
      <c r="M50" s="47"/>
      <c r="N50" s="108">
        <f t="shared" si="2"/>
        <v>5507604548.0699997</v>
      </c>
    </row>
    <row r="51" spans="1:14" ht="15.75">
      <c r="A51" s="48">
        <v>39873</v>
      </c>
      <c r="B51" s="65">
        <v>89.71302</v>
      </c>
      <c r="C51" s="49">
        <v>400.35300000000001</v>
      </c>
      <c r="D51" s="106">
        <v>5839.3739502399994</v>
      </c>
      <c r="E51" s="50">
        <f t="shared" si="0"/>
        <v>5953.0315602399996</v>
      </c>
      <c r="F51" s="84"/>
      <c r="G51" s="84"/>
      <c r="H51" s="84"/>
      <c r="I51" s="68">
        <v>50.809069999999998</v>
      </c>
      <c r="J51" s="68">
        <v>62.84854</v>
      </c>
      <c r="K51" s="68">
        <f t="shared" si="1"/>
        <v>113.65761000000001</v>
      </c>
      <c r="M51" s="47"/>
      <c r="N51" s="108">
        <f t="shared" si="2"/>
        <v>5839373950.2399998</v>
      </c>
    </row>
    <row r="52" spans="1:14" ht="15.75">
      <c r="A52" s="48">
        <v>39904</v>
      </c>
      <c r="B52" s="65">
        <v>86.401690000000002</v>
      </c>
      <c r="C52" s="49">
        <v>400.53</v>
      </c>
      <c r="D52" s="106">
        <v>5856.1564422500005</v>
      </c>
      <c r="E52" s="50">
        <f t="shared" si="0"/>
        <v>5992.7561322500005</v>
      </c>
      <c r="F52" s="84"/>
      <c r="G52" s="84"/>
      <c r="H52" s="84"/>
      <c r="I52" s="68">
        <v>62.302999999999997</v>
      </c>
      <c r="J52" s="68">
        <v>74.296689999999998</v>
      </c>
      <c r="K52" s="68">
        <f t="shared" si="1"/>
        <v>136.59969000000001</v>
      </c>
      <c r="M52" s="47"/>
      <c r="N52" s="108">
        <f t="shared" si="2"/>
        <v>5856156442.250001</v>
      </c>
    </row>
    <row r="53" spans="1:14" ht="15.75">
      <c r="A53" s="48">
        <v>39934</v>
      </c>
      <c r="B53" s="65">
        <v>87.324150000000003</v>
      </c>
      <c r="C53" s="49">
        <v>401.23200000000003</v>
      </c>
      <c r="D53" s="106">
        <v>5995.7094946499992</v>
      </c>
      <c r="E53" s="50">
        <f t="shared" si="0"/>
        <v>6116.237694649999</v>
      </c>
      <c r="F53" s="84"/>
      <c r="G53" s="84"/>
      <c r="H53" s="84"/>
      <c r="I53" s="68">
        <v>43.257210000000001</v>
      </c>
      <c r="J53" s="68">
        <v>77.270990000000012</v>
      </c>
      <c r="K53" s="68">
        <f t="shared" si="1"/>
        <v>120.52820000000001</v>
      </c>
      <c r="M53" s="47"/>
      <c r="N53" s="108">
        <f t="shared" si="2"/>
        <v>5995709494.6499996</v>
      </c>
    </row>
    <row r="54" spans="1:14" ht="15.75">
      <c r="A54" s="48">
        <v>39965</v>
      </c>
      <c r="B54" s="65">
        <v>88.169219999999996</v>
      </c>
      <c r="C54" s="49">
        <v>399.96600000000001</v>
      </c>
      <c r="D54" s="106">
        <v>6182.6887106900003</v>
      </c>
      <c r="E54" s="50">
        <f t="shared" si="0"/>
        <v>6322.4626706899999</v>
      </c>
      <c r="F54" s="84"/>
      <c r="G54" s="84"/>
      <c r="H54" s="84"/>
      <c r="I54" s="68">
        <v>50.504919999999998</v>
      </c>
      <c r="J54" s="68">
        <v>89.26903999999999</v>
      </c>
      <c r="K54" s="68">
        <f t="shared" si="1"/>
        <v>139.77395999999999</v>
      </c>
      <c r="M54" s="47"/>
      <c r="N54" s="108">
        <f t="shared" si="2"/>
        <v>6182688710.6900005</v>
      </c>
    </row>
    <row r="55" spans="1:14" ht="15.75">
      <c r="A55" s="48">
        <v>39995</v>
      </c>
      <c r="B55" s="65">
        <v>92.257639999999995</v>
      </c>
      <c r="C55" s="49">
        <v>397.39299999999997</v>
      </c>
      <c r="D55" s="106">
        <v>6358.7785005900005</v>
      </c>
      <c r="E55" s="50">
        <f t="shared" si="0"/>
        <v>6546.5607605900004</v>
      </c>
      <c r="F55" s="84"/>
      <c r="G55" s="84"/>
      <c r="H55" s="84"/>
      <c r="I55" s="68">
        <v>65.326729999999998</v>
      </c>
      <c r="J55" s="68">
        <v>122.45553</v>
      </c>
      <c r="K55" s="68">
        <f t="shared" si="1"/>
        <v>187.78226000000001</v>
      </c>
      <c r="M55" s="47"/>
      <c r="N55" s="108">
        <f t="shared" si="2"/>
        <v>6358778500.5900002</v>
      </c>
    </row>
    <row r="56" spans="1:14" ht="15.75">
      <c r="A56" s="48">
        <v>40026</v>
      </c>
      <c r="B56" s="65">
        <v>91.741870000000006</v>
      </c>
      <c r="C56" s="49">
        <v>397.75799999999998</v>
      </c>
      <c r="D56" s="106">
        <v>6442.9400451000001</v>
      </c>
      <c r="E56" s="50">
        <f t="shared" si="0"/>
        <v>6620.3694451000001</v>
      </c>
      <c r="F56" s="84"/>
      <c r="G56" s="84"/>
      <c r="H56" s="84"/>
      <c r="I56" s="68">
        <v>51.487379999999995</v>
      </c>
      <c r="J56" s="68">
        <v>125.94202</v>
      </c>
      <c r="K56" s="68">
        <f t="shared" si="1"/>
        <v>177.42939999999999</v>
      </c>
      <c r="M56" s="47"/>
      <c r="N56" s="108">
        <f t="shared" si="2"/>
        <v>6442940045.1000004</v>
      </c>
    </row>
    <row r="57" spans="1:14" ht="15.75">
      <c r="A57" s="48">
        <v>40057</v>
      </c>
      <c r="B57" s="65">
        <v>91.115819999999999</v>
      </c>
      <c r="C57" s="49">
        <v>398.738</v>
      </c>
      <c r="D57" s="106">
        <v>6770.1762364999995</v>
      </c>
      <c r="E57" s="50">
        <f t="shared" si="0"/>
        <v>6985.8922264999992</v>
      </c>
      <c r="F57" s="84"/>
      <c r="G57" s="84"/>
      <c r="H57" s="84"/>
      <c r="I57" s="68">
        <v>53.564039999999999</v>
      </c>
      <c r="J57" s="68">
        <v>162.15195</v>
      </c>
      <c r="K57" s="68">
        <f t="shared" si="1"/>
        <v>215.71599000000001</v>
      </c>
      <c r="M57" s="47"/>
      <c r="N57" s="108">
        <f t="shared" si="2"/>
        <v>6770176236.499999</v>
      </c>
    </row>
    <row r="58" spans="1:14" ht="15.75">
      <c r="A58" s="48">
        <v>40087</v>
      </c>
      <c r="B58" s="65">
        <v>92.993660000000006</v>
      </c>
      <c r="C58" s="49">
        <v>398.57499999999999</v>
      </c>
      <c r="D58" s="106">
        <v>7132.1047176699994</v>
      </c>
      <c r="E58" s="50">
        <f t="shared" si="0"/>
        <v>7322.6396176699991</v>
      </c>
      <c r="F58" s="84"/>
      <c r="G58" s="84"/>
      <c r="H58" s="84"/>
      <c r="I58" s="68">
        <v>46.066309999999994</v>
      </c>
      <c r="J58" s="68">
        <v>144.46859000000001</v>
      </c>
      <c r="K58" s="68">
        <f t="shared" si="1"/>
        <v>190.53489999999999</v>
      </c>
      <c r="M58" s="47"/>
      <c r="N58" s="108">
        <f t="shared" si="2"/>
        <v>7132104717.6699991</v>
      </c>
    </row>
    <row r="59" spans="1:14" ht="15.75">
      <c r="A59" s="48">
        <v>40118</v>
      </c>
      <c r="B59" s="65">
        <v>90.984579999999994</v>
      </c>
      <c r="C59" s="49">
        <v>398.85700000000003</v>
      </c>
      <c r="D59" s="106">
        <v>7100.5888377300007</v>
      </c>
      <c r="E59" s="50">
        <f t="shared" si="0"/>
        <v>7300.4401077300008</v>
      </c>
      <c r="F59" s="84"/>
      <c r="G59" s="84"/>
      <c r="H59" s="84"/>
      <c r="I59" s="68">
        <v>55.193049999999999</v>
      </c>
      <c r="J59" s="68">
        <v>144.65822</v>
      </c>
      <c r="K59" s="68">
        <f t="shared" si="1"/>
        <v>199.85127</v>
      </c>
      <c r="M59" s="47"/>
      <c r="N59" s="108">
        <f t="shared" si="2"/>
        <v>7100588837.7300005</v>
      </c>
    </row>
    <row r="60" spans="1:14" ht="15.75">
      <c r="A60" s="48">
        <v>40148</v>
      </c>
      <c r="B60" s="65">
        <v>90.70917</v>
      </c>
      <c r="C60" s="49">
        <v>398.40699999999998</v>
      </c>
      <c r="D60" s="106">
        <v>7991.9494261699992</v>
      </c>
      <c r="E60" s="50">
        <f t="shared" si="0"/>
        <v>8201.0068961699999</v>
      </c>
      <c r="F60" s="84"/>
      <c r="G60" s="84"/>
      <c r="H60" s="84"/>
      <c r="I60" s="68">
        <v>56.1205</v>
      </c>
      <c r="J60" s="68">
        <v>152.93697</v>
      </c>
      <c r="K60" s="68">
        <f t="shared" si="1"/>
        <v>209.05747</v>
      </c>
      <c r="M60" s="47"/>
      <c r="N60" s="108">
        <f t="shared" si="2"/>
        <v>7991949426.1699991</v>
      </c>
    </row>
    <row r="61" spans="1:14" ht="15.75">
      <c r="A61" s="48">
        <v>40179</v>
      </c>
      <c r="B61" s="65">
        <v>88.308480000000003</v>
      </c>
      <c r="C61" s="49">
        <v>402.42500000000001</v>
      </c>
      <c r="D61" s="106">
        <v>6638.9845454399992</v>
      </c>
      <c r="E61" s="50">
        <f t="shared" si="0"/>
        <v>6841.3238354399991</v>
      </c>
      <c r="F61" s="84"/>
      <c r="G61" s="84"/>
      <c r="H61" s="84"/>
      <c r="I61" s="51">
        <v>62.043669999999999</v>
      </c>
      <c r="J61" s="51">
        <v>140.29561999999999</v>
      </c>
      <c r="K61" s="51">
        <f t="shared" si="1"/>
        <v>202.33928999999998</v>
      </c>
      <c r="M61" s="47"/>
      <c r="N61" s="108">
        <f t="shared" si="2"/>
        <v>6638984545.4399996</v>
      </c>
    </row>
    <row r="62" spans="1:14" ht="15.75">
      <c r="A62" s="48">
        <v>40210</v>
      </c>
      <c r="B62" s="65">
        <v>89.571070000000006</v>
      </c>
      <c r="C62" s="49">
        <v>406.82600000000002</v>
      </c>
      <c r="D62" s="106">
        <v>6985.70780474</v>
      </c>
      <c r="E62" s="50">
        <f t="shared" si="0"/>
        <v>7143.6386347400003</v>
      </c>
      <c r="F62" s="84"/>
      <c r="G62" s="84"/>
      <c r="H62" s="84"/>
      <c r="I62" s="51">
        <v>46.205559999999998</v>
      </c>
      <c r="J62" s="51">
        <v>111.72527000000001</v>
      </c>
      <c r="K62" s="51">
        <f t="shared" si="1"/>
        <v>157.93083000000001</v>
      </c>
      <c r="M62" s="47"/>
      <c r="N62" s="108">
        <f t="shared" si="2"/>
        <v>6985707804.7399998</v>
      </c>
    </row>
    <row r="63" spans="1:14" ht="15.75">
      <c r="A63" s="48">
        <v>40238</v>
      </c>
      <c r="B63" s="65">
        <v>100.68329</v>
      </c>
      <c r="C63" s="49">
        <v>409.399</v>
      </c>
      <c r="D63" s="106">
        <v>7236.91349386</v>
      </c>
      <c r="E63" s="50">
        <f t="shared" si="0"/>
        <v>7390.0542938600001</v>
      </c>
      <c r="F63" s="84"/>
      <c r="G63" s="84"/>
      <c r="H63" s="84"/>
      <c r="I63" s="51">
        <v>47.419460000000001</v>
      </c>
      <c r="J63" s="51">
        <v>105.72134</v>
      </c>
      <c r="K63" s="51">
        <f t="shared" si="1"/>
        <v>153.14080000000001</v>
      </c>
      <c r="M63" s="47"/>
      <c r="N63" s="108">
        <f t="shared" si="2"/>
        <v>7236913493.8599997</v>
      </c>
    </row>
    <row r="64" spans="1:14" ht="15.75">
      <c r="A64" s="48">
        <v>40269</v>
      </c>
      <c r="B64" s="65">
        <v>96.070269999999994</v>
      </c>
      <c r="C64" s="49">
        <v>412.34100000000001</v>
      </c>
      <c r="D64" s="106">
        <v>7571.5266219000005</v>
      </c>
      <c r="E64" s="50">
        <f t="shared" si="0"/>
        <v>7798.0890319000009</v>
      </c>
      <c r="F64" s="84"/>
      <c r="G64" s="84"/>
      <c r="H64" s="84"/>
      <c r="I64" s="51">
        <v>85.695350000000005</v>
      </c>
      <c r="J64" s="51">
        <v>140.86706000000001</v>
      </c>
      <c r="K64" s="51">
        <f t="shared" si="1"/>
        <v>226.56241</v>
      </c>
      <c r="M64" s="47"/>
      <c r="N64" s="108">
        <f t="shared" si="2"/>
        <v>7571526621.9000006</v>
      </c>
    </row>
    <row r="65" spans="1:14" ht="15.75">
      <c r="A65" s="48">
        <v>40299</v>
      </c>
      <c r="B65" s="65">
        <v>95.825140000000005</v>
      </c>
      <c r="C65" s="49">
        <v>418.81099999999998</v>
      </c>
      <c r="D65" s="106">
        <v>7224.3276450900003</v>
      </c>
      <c r="E65" s="50">
        <f t="shared" si="0"/>
        <v>7437.7524241900001</v>
      </c>
      <c r="F65" s="84"/>
      <c r="G65" s="84"/>
      <c r="H65" s="84"/>
      <c r="I65" s="51">
        <v>90.200749999999999</v>
      </c>
      <c r="J65" s="51">
        <v>123.22402909999961</v>
      </c>
      <c r="K65" s="51">
        <f t="shared" si="1"/>
        <v>213.42477909999963</v>
      </c>
      <c r="M65" s="47"/>
      <c r="N65" s="108">
        <f t="shared" si="2"/>
        <v>7224327645.0900002</v>
      </c>
    </row>
    <row r="66" spans="1:14" ht="15.75">
      <c r="A66" s="48">
        <v>40330</v>
      </c>
      <c r="B66" s="65">
        <v>95.52413</v>
      </c>
      <c r="C66" s="49">
        <v>420.24099999999999</v>
      </c>
      <c r="D66" s="106">
        <v>7598.4511997299996</v>
      </c>
      <c r="E66" s="50">
        <f t="shared" ref="E66:E129" si="3">D66+K66</f>
        <v>7788.3201986699996</v>
      </c>
      <c r="F66" s="84"/>
      <c r="G66" s="84"/>
      <c r="H66" s="84"/>
      <c r="I66" s="51">
        <v>70.383189999999999</v>
      </c>
      <c r="J66" s="51">
        <v>119.4858089400001</v>
      </c>
      <c r="K66" s="51">
        <f t="shared" si="1"/>
        <v>189.8689989400001</v>
      </c>
      <c r="M66" s="47"/>
      <c r="N66" s="108">
        <f t="shared" si="2"/>
        <v>7598451199.7299995</v>
      </c>
    </row>
    <row r="67" spans="1:14" ht="15.75">
      <c r="A67" s="48">
        <v>40360</v>
      </c>
      <c r="B67" s="65">
        <v>99.419589999999999</v>
      </c>
      <c r="C67" s="49">
        <v>421.154</v>
      </c>
      <c r="D67" s="106">
        <v>7472.7209973999998</v>
      </c>
      <c r="E67" s="50">
        <f t="shared" si="3"/>
        <v>7728.5029757499997</v>
      </c>
      <c r="F67" s="84"/>
      <c r="G67" s="84"/>
      <c r="H67" s="84"/>
      <c r="I67" s="51">
        <v>141.29338000000001</v>
      </c>
      <c r="J67" s="51">
        <v>114.48859835000002</v>
      </c>
      <c r="K67" s="51">
        <f t="shared" ref="K67:K130" si="4">I67+J67</f>
        <v>255.78197835000003</v>
      </c>
      <c r="M67" s="47"/>
      <c r="N67" s="108">
        <f t="shared" ref="N67:N130" si="5">D67*1000000</f>
        <v>7472720997.3999996</v>
      </c>
    </row>
    <row r="68" spans="1:14" ht="15.75">
      <c r="A68" s="48">
        <v>40391</v>
      </c>
      <c r="B68" s="65">
        <v>99.354169999999996</v>
      </c>
      <c r="C68" s="49">
        <v>425.78800000000001</v>
      </c>
      <c r="D68" s="106">
        <v>7617.3321699199996</v>
      </c>
      <c r="E68" s="50">
        <f t="shared" si="3"/>
        <v>7817.59055567</v>
      </c>
      <c r="F68" s="84"/>
      <c r="G68" s="84"/>
      <c r="H68" s="84"/>
      <c r="I68" s="51">
        <v>102.67472000000001</v>
      </c>
      <c r="J68" s="51">
        <v>97.58366574999998</v>
      </c>
      <c r="K68" s="51">
        <f t="shared" si="4"/>
        <v>200.25838575</v>
      </c>
      <c r="M68" s="47"/>
      <c r="N68" s="108">
        <f t="shared" si="5"/>
        <v>7617332169.9200001</v>
      </c>
    </row>
    <row r="69" spans="1:14" ht="15.75">
      <c r="A69" s="48">
        <v>40422</v>
      </c>
      <c r="B69" s="65">
        <v>97.890060000000005</v>
      </c>
      <c r="C69" s="49">
        <v>430.45299999999997</v>
      </c>
      <c r="D69" s="106">
        <v>7753.5365089400002</v>
      </c>
      <c r="E69" s="50">
        <f t="shared" si="3"/>
        <v>7920.97822438</v>
      </c>
      <c r="F69" s="84"/>
      <c r="G69" s="84"/>
      <c r="H69" s="84"/>
      <c r="I69" s="51">
        <v>78.692789999999988</v>
      </c>
      <c r="J69" s="51">
        <v>88.748925439999994</v>
      </c>
      <c r="K69" s="51">
        <f t="shared" si="4"/>
        <v>167.44171544</v>
      </c>
      <c r="M69" s="47"/>
      <c r="N69" s="108">
        <f t="shared" si="5"/>
        <v>7753536508.9400005</v>
      </c>
    </row>
    <row r="70" spans="1:14" ht="15.75">
      <c r="A70" s="48">
        <v>40452</v>
      </c>
      <c r="B70" s="65">
        <v>97.797259999999994</v>
      </c>
      <c r="C70" s="49">
        <v>434.88200000000001</v>
      </c>
      <c r="D70" s="106">
        <v>7857.8161243899995</v>
      </c>
      <c r="E70" s="50">
        <f t="shared" si="3"/>
        <v>8051.7955997499994</v>
      </c>
      <c r="F70" s="84"/>
      <c r="G70" s="84"/>
      <c r="H70" s="84"/>
      <c r="I70" s="51">
        <v>136.89449999999999</v>
      </c>
      <c r="J70" s="51">
        <v>57.084975360000001</v>
      </c>
      <c r="K70" s="51">
        <f t="shared" si="4"/>
        <v>193.97947535999998</v>
      </c>
      <c r="M70" s="47"/>
      <c r="N70" s="108">
        <f t="shared" si="5"/>
        <v>7857816124.3899994</v>
      </c>
    </row>
    <row r="71" spans="1:14" ht="15.75">
      <c r="A71" s="48">
        <v>40483</v>
      </c>
      <c r="B71" s="65">
        <v>98.044370000000001</v>
      </c>
      <c r="C71" s="49">
        <v>441.75400000000002</v>
      </c>
      <c r="D71" s="106">
        <v>7975.4036668299996</v>
      </c>
      <c r="E71" s="50">
        <f t="shared" si="3"/>
        <v>8250.1482587999999</v>
      </c>
      <c r="F71" s="84"/>
      <c r="G71" s="84"/>
      <c r="H71" s="84"/>
      <c r="I71" s="51">
        <v>116.96277000000001</v>
      </c>
      <c r="J71" s="51">
        <v>157.78182196999987</v>
      </c>
      <c r="K71" s="51">
        <f t="shared" si="4"/>
        <v>274.74459196999987</v>
      </c>
      <c r="M71" s="47"/>
      <c r="N71" s="108">
        <f t="shared" si="5"/>
        <v>7975403666.8299999</v>
      </c>
    </row>
    <row r="72" spans="1:14" ht="15.75">
      <c r="A72" s="48">
        <v>40513</v>
      </c>
      <c r="B72" s="65">
        <v>95.944130000000001</v>
      </c>
      <c r="C72" s="49">
        <v>443.42700000000002</v>
      </c>
      <c r="D72" s="106">
        <v>8650.1741687499998</v>
      </c>
      <c r="E72" s="50">
        <f t="shared" si="3"/>
        <v>8874.1988583900002</v>
      </c>
      <c r="F72" s="84"/>
      <c r="G72" s="84"/>
      <c r="H72" s="84"/>
      <c r="I72" s="51">
        <v>119.58707000000001</v>
      </c>
      <c r="J72" s="51">
        <v>104.43761963999989</v>
      </c>
      <c r="K72" s="51">
        <f t="shared" si="4"/>
        <v>224.02468963999991</v>
      </c>
      <c r="M72" s="47"/>
      <c r="N72" s="108">
        <f t="shared" si="5"/>
        <v>8650174168.75</v>
      </c>
    </row>
    <row r="73" spans="1:14" ht="15.75">
      <c r="A73" s="48">
        <v>40544</v>
      </c>
      <c r="B73" s="65">
        <v>93.119339999999994</v>
      </c>
      <c r="C73" s="49">
        <v>447.76400000000001</v>
      </c>
      <c r="D73" s="106">
        <v>7683.1742821399985</v>
      </c>
      <c r="E73" s="50">
        <f t="shared" si="3"/>
        <v>7990.5100486899983</v>
      </c>
      <c r="F73" s="84"/>
      <c r="G73" s="84"/>
      <c r="H73" s="84"/>
      <c r="I73" s="68">
        <v>146.46745999999999</v>
      </c>
      <c r="J73" s="68">
        <v>160.86830654999991</v>
      </c>
      <c r="K73" s="68">
        <f t="shared" si="4"/>
        <v>307.3357665499999</v>
      </c>
      <c r="M73" s="47"/>
      <c r="N73" s="108">
        <f t="shared" si="5"/>
        <v>7683174282.1399984</v>
      </c>
    </row>
    <row r="74" spans="1:14" ht="15.75">
      <c r="A74" s="48">
        <v>40575</v>
      </c>
      <c r="B74" s="65">
        <v>95.588710000000006</v>
      </c>
      <c r="C74" s="49">
        <v>452.04700000000003</v>
      </c>
      <c r="D74" s="106">
        <v>7712.329698149998</v>
      </c>
      <c r="E74" s="50">
        <f t="shared" si="3"/>
        <v>7894.2196618699982</v>
      </c>
      <c r="F74" s="84"/>
      <c r="G74" s="84"/>
      <c r="H74" s="84"/>
      <c r="I74" s="68">
        <v>109.73214</v>
      </c>
      <c r="J74" s="68">
        <v>72.157823719999996</v>
      </c>
      <c r="K74" s="68">
        <f t="shared" si="4"/>
        <v>181.88996372</v>
      </c>
      <c r="M74" s="47"/>
      <c r="N74" s="108">
        <f t="shared" si="5"/>
        <v>7712329698.1499977</v>
      </c>
    </row>
    <row r="75" spans="1:14" ht="15.75">
      <c r="A75" s="48">
        <v>40603</v>
      </c>
      <c r="B75" s="65">
        <v>101.73293</v>
      </c>
      <c r="C75" s="49">
        <v>454.80500000000001</v>
      </c>
      <c r="D75" s="106">
        <v>7885.2372274099989</v>
      </c>
      <c r="E75" s="50">
        <f t="shared" si="3"/>
        <v>8084.1136322899993</v>
      </c>
      <c r="F75" s="84"/>
      <c r="G75" s="84"/>
      <c r="H75" s="84"/>
      <c r="I75" s="68">
        <v>78.318479999999994</v>
      </c>
      <c r="J75" s="68">
        <v>120.55792488000003</v>
      </c>
      <c r="K75" s="68">
        <f t="shared" si="4"/>
        <v>198.87640488000002</v>
      </c>
      <c r="M75" s="47"/>
      <c r="N75" s="108">
        <f t="shared" si="5"/>
        <v>7885237227.4099989</v>
      </c>
    </row>
    <row r="76" spans="1:14" ht="15.75">
      <c r="A76" s="48">
        <v>40634</v>
      </c>
      <c r="B76" s="65">
        <v>98.188789999999997</v>
      </c>
      <c r="C76" s="49">
        <v>457.05900000000003</v>
      </c>
      <c r="D76" s="106">
        <v>8185.1875680400008</v>
      </c>
      <c r="E76" s="50">
        <f t="shared" si="3"/>
        <v>8402.9268207700006</v>
      </c>
      <c r="F76" s="84"/>
      <c r="G76" s="84"/>
      <c r="H76" s="84"/>
      <c r="I76" s="68">
        <v>115.29019</v>
      </c>
      <c r="J76" s="68">
        <v>102.44906272999991</v>
      </c>
      <c r="K76" s="68">
        <f t="shared" si="4"/>
        <v>217.73925272999992</v>
      </c>
      <c r="M76" s="47"/>
      <c r="N76" s="108">
        <f t="shared" si="5"/>
        <v>8185187568.0400009</v>
      </c>
    </row>
    <row r="77" spans="1:14" ht="15.75">
      <c r="A77" s="48">
        <v>40664</v>
      </c>
      <c r="B77" s="65">
        <v>100.53779</v>
      </c>
      <c r="C77" s="49">
        <v>457.09</v>
      </c>
      <c r="D77" s="106">
        <v>8275.9205665000027</v>
      </c>
      <c r="E77" s="50">
        <f t="shared" si="3"/>
        <v>8464.4139552000033</v>
      </c>
      <c r="F77" s="84"/>
      <c r="G77" s="84"/>
      <c r="H77" s="84"/>
      <c r="I77" s="68">
        <v>85.351079999999996</v>
      </c>
      <c r="J77" s="68">
        <v>103.1423087000001</v>
      </c>
      <c r="K77" s="68">
        <f t="shared" si="4"/>
        <v>188.49338870000008</v>
      </c>
      <c r="M77" s="47"/>
      <c r="N77" s="108">
        <f t="shared" si="5"/>
        <v>8275920566.5000029</v>
      </c>
    </row>
    <row r="78" spans="1:14" ht="15.75">
      <c r="A78" s="48">
        <v>40695</v>
      </c>
      <c r="B78" s="65">
        <v>99.496750000000006</v>
      </c>
      <c r="C78" s="49">
        <v>456.49</v>
      </c>
      <c r="D78" s="106">
        <v>8194.2123559500014</v>
      </c>
      <c r="E78" s="50">
        <f t="shared" si="3"/>
        <v>8374.9973947500021</v>
      </c>
      <c r="F78" s="84"/>
      <c r="G78" s="84"/>
      <c r="H78" s="84"/>
      <c r="I78" s="68">
        <v>82.69386999999999</v>
      </c>
      <c r="J78" s="68">
        <v>98.091168799999892</v>
      </c>
      <c r="K78" s="68">
        <f t="shared" si="4"/>
        <v>180.78503879999988</v>
      </c>
      <c r="M78" s="47"/>
      <c r="N78" s="108">
        <f t="shared" si="5"/>
        <v>8194212355.9500017</v>
      </c>
    </row>
    <row r="79" spans="1:14" ht="15.75">
      <c r="A79" s="48">
        <v>40725</v>
      </c>
      <c r="B79" s="65">
        <v>101.91566</v>
      </c>
      <c r="C79" s="49">
        <v>456.25799999999998</v>
      </c>
      <c r="D79" s="106">
        <v>8131.2841770300029</v>
      </c>
      <c r="E79" s="50">
        <f t="shared" si="3"/>
        <v>8318.9882560200022</v>
      </c>
      <c r="F79" s="84"/>
      <c r="G79" s="84"/>
      <c r="H79" s="84"/>
      <c r="I79" s="68">
        <v>94.865859999999998</v>
      </c>
      <c r="J79" s="68">
        <v>92.838218990000129</v>
      </c>
      <c r="K79" s="68">
        <f t="shared" si="4"/>
        <v>187.70407899000014</v>
      </c>
      <c r="M79" s="47"/>
      <c r="N79" s="108">
        <f t="shared" si="5"/>
        <v>8131284177.0300026</v>
      </c>
    </row>
    <row r="80" spans="1:14" ht="15.75">
      <c r="A80" s="48">
        <v>40756</v>
      </c>
      <c r="B80" s="65">
        <v>103.53888000000001</v>
      </c>
      <c r="C80" s="49">
        <v>459.05500000000001</v>
      </c>
      <c r="D80" s="106">
        <v>8415.7524651000003</v>
      </c>
      <c r="E80" s="50">
        <f t="shared" si="3"/>
        <v>8629.0493352499998</v>
      </c>
      <c r="F80" s="84"/>
      <c r="G80" s="84"/>
      <c r="H80" s="84"/>
      <c r="I80" s="68">
        <v>96.961600000000004</v>
      </c>
      <c r="J80" s="68">
        <v>116.33527015000008</v>
      </c>
      <c r="K80" s="68">
        <f t="shared" si="4"/>
        <v>213.29687015000007</v>
      </c>
      <c r="M80" s="47"/>
      <c r="N80" s="108">
        <f t="shared" si="5"/>
        <v>8415752465.1000004</v>
      </c>
    </row>
    <row r="81" spans="1:14" ht="15.75">
      <c r="A81" s="48">
        <v>40787</v>
      </c>
      <c r="B81" s="65">
        <v>99.887169999999998</v>
      </c>
      <c r="C81" s="49">
        <v>462.50900000000001</v>
      </c>
      <c r="D81" s="106">
        <v>8771.8832655199967</v>
      </c>
      <c r="E81" s="50">
        <f t="shared" si="3"/>
        <v>8985.9847434699968</v>
      </c>
      <c r="F81" s="84"/>
      <c r="G81" s="84"/>
      <c r="H81" s="84"/>
      <c r="I81" s="68">
        <v>90.664020000000008</v>
      </c>
      <c r="J81" s="68">
        <v>123.43745795000009</v>
      </c>
      <c r="K81" s="68">
        <f t="shared" si="4"/>
        <v>214.10147795000012</v>
      </c>
      <c r="M81" s="47"/>
      <c r="N81" s="108">
        <f t="shared" si="5"/>
        <v>8771883265.5199966</v>
      </c>
    </row>
    <row r="82" spans="1:14" ht="15.75">
      <c r="A82" s="48">
        <v>40817</v>
      </c>
      <c r="B82" s="65">
        <v>99.685469999999995</v>
      </c>
      <c r="C82" s="49">
        <v>464.34899999999999</v>
      </c>
      <c r="D82" s="106">
        <v>8622.9257265900014</v>
      </c>
      <c r="E82" s="50">
        <f t="shared" si="3"/>
        <v>8874.7970814900018</v>
      </c>
      <c r="F82" s="84"/>
      <c r="G82" s="84"/>
      <c r="H82" s="84"/>
      <c r="I82" s="68">
        <v>103.14858</v>
      </c>
      <c r="J82" s="68">
        <v>148.72277490000022</v>
      </c>
      <c r="K82" s="68">
        <f t="shared" si="4"/>
        <v>251.8713549000002</v>
      </c>
      <c r="M82" s="47"/>
      <c r="N82" s="108">
        <f t="shared" si="5"/>
        <v>8622925726.5900021</v>
      </c>
    </row>
    <row r="83" spans="1:14" ht="15.75">
      <c r="A83" s="48">
        <v>40848</v>
      </c>
      <c r="B83" s="65">
        <v>99.581199999999995</v>
      </c>
      <c r="C83" s="49">
        <v>466.33100000000002</v>
      </c>
      <c r="D83" s="106">
        <v>8513.0161372799994</v>
      </c>
      <c r="E83" s="50">
        <f t="shared" si="3"/>
        <v>8754.9955890399997</v>
      </c>
      <c r="F83" s="84"/>
      <c r="G83" s="84"/>
      <c r="H83" s="84"/>
      <c r="I83" s="68">
        <v>86.057360000000003</v>
      </c>
      <c r="J83" s="68">
        <v>155.9220917600002</v>
      </c>
      <c r="K83" s="68">
        <f t="shared" si="4"/>
        <v>241.97945176000019</v>
      </c>
      <c r="M83" s="47"/>
      <c r="N83" s="108">
        <f t="shared" si="5"/>
        <v>8513016137.2799997</v>
      </c>
    </row>
    <row r="84" spans="1:14" ht="15.75">
      <c r="A84" s="48">
        <v>40878</v>
      </c>
      <c r="B84" s="65">
        <v>97.730680000000007</v>
      </c>
      <c r="C84" s="49">
        <v>465.58600000000001</v>
      </c>
      <c r="D84" s="106">
        <v>9499.3121591600047</v>
      </c>
      <c r="E84" s="50">
        <f t="shared" si="3"/>
        <v>9767.062981820005</v>
      </c>
      <c r="F84" s="84"/>
      <c r="G84" s="84"/>
      <c r="H84" s="84"/>
      <c r="I84" s="68">
        <v>121.48457000000001</v>
      </c>
      <c r="J84" s="68">
        <v>146.26625266000011</v>
      </c>
      <c r="K84" s="68">
        <f t="shared" si="4"/>
        <v>267.7508226600001</v>
      </c>
      <c r="M84" s="47"/>
      <c r="N84" s="108">
        <f t="shared" si="5"/>
        <v>9499312159.1600056</v>
      </c>
    </row>
    <row r="85" spans="1:14" ht="15.75">
      <c r="A85" s="48">
        <v>40909</v>
      </c>
      <c r="B85" s="65">
        <v>93.593199999999996</v>
      </c>
      <c r="C85" s="49">
        <v>466.97899999999998</v>
      </c>
      <c r="D85" s="106">
        <v>8415.5961400099986</v>
      </c>
      <c r="E85" s="50">
        <f t="shared" si="3"/>
        <v>8710.3132998499987</v>
      </c>
      <c r="F85" s="84"/>
      <c r="G85" s="84"/>
      <c r="H85" s="84"/>
      <c r="I85" s="51">
        <v>134.34208999999998</v>
      </c>
      <c r="J85" s="51">
        <v>160.37506983999978</v>
      </c>
      <c r="K85" s="51">
        <f t="shared" si="4"/>
        <v>294.71715983999979</v>
      </c>
      <c r="M85" s="47"/>
      <c r="N85" s="108">
        <f t="shared" si="5"/>
        <v>8415596140.0099983</v>
      </c>
    </row>
    <row r="86" spans="1:14" ht="15.75">
      <c r="A86" s="48">
        <v>40940</v>
      </c>
      <c r="B86" s="65">
        <v>95.005210000000005</v>
      </c>
      <c r="C86" s="49">
        <v>467.30799999999999</v>
      </c>
      <c r="D86" s="106">
        <v>7817.540140340001</v>
      </c>
      <c r="E86" s="50">
        <f t="shared" si="3"/>
        <v>8083.2587643100014</v>
      </c>
      <c r="F86" s="84"/>
      <c r="G86" s="84"/>
      <c r="H86" s="84"/>
      <c r="I86" s="51">
        <v>106.8968</v>
      </c>
      <c r="J86" s="51">
        <v>158.82182397000003</v>
      </c>
      <c r="K86" s="51">
        <f t="shared" si="4"/>
        <v>265.71862397000001</v>
      </c>
      <c r="M86" s="47"/>
      <c r="N86" s="108">
        <f t="shared" si="5"/>
        <v>7817540140.3400011</v>
      </c>
    </row>
    <row r="87" spans="1:14" ht="15.75">
      <c r="A87" s="48">
        <v>40969</v>
      </c>
      <c r="B87" s="65">
        <v>102.72554</v>
      </c>
      <c r="C87" s="49">
        <v>469.91</v>
      </c>
      <c r="D87" s="106">
        <v>8641.8208183199986</v>
      </c>
      <c r="E87" s="50">
        <f t="shared" si="3"/>
        <v>8834.2523337499988</v>
      </c>
      <c r="F87" s="84"/>
      <c r="G87" s="84"/>
      <c r="H87" s="84"/>
      <c r="I87" s="51">
        <v>87.243929999999992</v>
      </c>
      <c r="J87" s="51">
        <v>105.18758543</v>
      </c>
      <c r="K87" s="51">
        <f t="shared" si="4"/>
        <v>192.43151542999999</v>
      </c>
      <c r="M87" s="47"/>
      <c r="N87" s="108">
        <f t="shared" si="5"/>
        <v>8641820818.3199978</v>
      </c>
    </row>
    <row r="88" spans="1:14" ht="15.75">
      <c r="A88" s="48">
        <v>41000</v>
      </c>
      <c r="B88" s="65">
        <v>98.164010000000005</v>
      </c>
      <c r="C88" s="49">
        <v>474.68299999999999</v>
      </c>
      <c r="D88" s="106">
        <v>8978.6365243300006</v>
      </c>
      <c r="E88" s="50">
        <f t="shared" si="3"/>
        <v>9204.5820067000004</v>
      </c>
      <c r="F88" s="84"/>
      <c r="G88" s="84"/>
      <c r="H88" s="84"/>
      <c r="I88" s="51">
        <v>118.95339</v>
      </c>
      <c r="J88" s="51">
        <v>106.99209237000001</v>
      </c>
      <c r="K88" s="51">
        <f t="shared" si="4"/>
        <v>225.94548237000001</v>
      </c>
      <c r="M88" s="47"/>
      <c r="N88" s="108">
        <f t="shared" si="5"/>
        <v>8978636524.3299999</v>
      </c>
    </row>
    <row r="89" spans="1:14" ht="15.75">
      <c r="A89" s="48">
        <v>41030</v>
      </c>
      <c r="B89" s="65">
        <v>101.46969</v>
      </c>
      <c r="C89" s="49">
        <v>479.01900000000001</v>
      </c>
      <c r="D89" s="106">
        <v>8658.7203939800002</v>
      </c>
      <c r="E89" s="50">
        <f t="shared" si="3"/>
        <v>8847.1055968500004</v>
      </c>
      <c r="F89" s="84"/>
      <c r="G89" s="84"/>
      <c r="H89" s="84"/>
      <c r="I89" s="51">
        <v>89.395560000000003</v>
      </c>
      <c r="J89" s="51">
        <v>98.989642869999983</v>
      </c>
      <c r="K89" s="51">
        <f t="shared" si="4"/>
        <v>188.38520287</v>
      </c>
      <c r="M89" s="47"/>
      <c r="N89" s="108">
        <f t="shared" si="5"/>
        <v>8658720393.9799995</v>
      </c>
    </row>
    <row r="90" spans="1:14" ht="15.75">
      <c r="A90" s="48">
        <v>41061</v>
      </c>
      <c r="B90" s="65">
        <v>99.867739999999998</v>
      </c>
      <c r="C90" s="49">
        <v>482.31099999999998</v>
      </c>
      <c r="D90" s="106">
        <v>8728.6895877200004</v>
      </c>
      <c r="E90" s="50">
        <f t="shared" si="3"/>
        <v>8971.7705933300003</v>
      </c>
      <c r="F90" s="84"/>
      <c r="G90" s="84"/>
      <c r="H90" s="84"/>
      <c r="I90" s="51">
        <v>102.73278000000001</v>
      </c>
      <c r="J90" s="51">
        <v>140.3482256100001</v>
      </c>
      <c r="K90" s="51">
        <f t="shared" si="4"/>
        <v>243.08100561000009</v>
      </c>
      <c r="M90" s="47"/>
      <c r="N90" s="108">
        <f t="shared" si="5"/>
        <v>8728689587.7200012</v>
      </c>
    </row>
    <row r="91" spans="1:14" ht="15.75">
      <c r="A91" s="48">
        <v>41091</v>
      </c>
      <c r="B91" s="65">
        <v>103.50539000000001</v>
      </c>
      <c r="C91" s="49">
        <v>489.62099999999998</v>
      </c>
      <c r="D91" s="106">
        <v>8646.1549360400004</v>
      </c>
      <c r="E91" s="50">
        <f t="shared" si="3"/>
        <v>8863.2046119200004</v>
      </c>
      <c r="F91" s="84"/>
      <c r="G91" s="84"/>
      <c r="H91" s="84"/>
      <c r="I91" s="51">
        <v>95.165970000000002</v>
      </c>
      <c r="J91" s="51">
        <v>121.88370588000001</v>
      </c>
      <c r="K91" s="51">
        <f t="shared" si="4"/>
        <v>217.04967588</v>
      </c>
      <c r="M91" s="47"/>
      <c r="N91" s="108">
        <f t="shared" si="5"/>
        <v>8646154936.0400009</v>
      </c>
    </row>
    <row r="92" spans="1:14" ht="15.75">
      <c r="A92" s="48">
        <v>41122</v>
      </c>
      <c r="B92" s="65">
        <v>105.22416</v>
      </c>
      <c r="C92" s="49">
        <v>495.94900000000001</v>
      </c>
      <c r="D92" s="106">
        <v>9020.4366969700004</v>
      </c>
      <c r="E92" s="50">
        <f t="shared" si="3"/>
        <v>9274.1500812200011</v>
      </c>
      <c r="F92" s="84"/>
      <c r="G92" s="84"/>
      <c r="H92" s="84"/>
      <c r="I92" s="51">
        <v>106.70511999999999</v>
      </c>
      <c r="J92" s="51">
        <v>147.00826424999991</v>
      </c>
      <c r="K92" s="51">
        <f t="shared" si="4"/>
        <v>253.7133842499999</v>
      </c>
      <c r="M92" s="47"/>
      <c r="N92" s="108">
        <f t="shared" si="5"/>
        <v>9020436696.9700012</v>
      </c>
    </row>
    <row r="93" spans="1:14" ht="15.75">
      <c r="A93" s="48">
        <v>41153</v>
      </c>
      <c r="B93" s="65">
        <v>99.390389999999996</v>
      </c>
      <c r="C93" s="49">
        <v>500.31400000000002</v>
      </c>
      <c r="D93" s="106">
        <v>9082.4764294199995</v>
      </c>
      <c r="E93" s="50">
        <f t="shared" si="3"/>
        <v>9621.1733309699994</v>
      </c>
      <c r="F93" s="84"/>
      <c r="G93" s="84"/>
      <c r="H93" s="84"/>
      <c r="I93" s="51">
        <v>331.07346000000001</v>
      </c>
      <c r="J93" s="51">
        <v>207.62344154999991</v>
      </c>
      <c r="K93" s="51">
        <f t="shared" si="4"/>
        <v>538.69690154999989</v>
      </c>
      <c r="M93" s="47"/>
      <c r="N93" s="108">
        <f t="shared" si="5"/>
        <v>9082476429.4200001</v>
      </c>
    </row>
    <row r="94" spans="1:14" ht="15.75">
      <c r="A94" s="48">
        <v>41183</v>
      </c>
      <c r="B94" s="65">
        <v>103.67941999999999</v>
      </c>
      <c r="C94" s="49">
        <v>498.73899999999998</v>
      </c>
      <c r="D94" s="106">
        <v>9544.4327459100004</v>
      </c>
      <c r="E94" s="50">
        <f t="shared" si="3"/>
        <v>9808.9372303100008</v>
      </c>
      <c r="F94" s="84"/>
      <c r="G94" s="84"/>
      <c r="H94" s="84"/>
      <c r="I94" s="51">
        <v>91.266220000000004</v>
      </c>
      <c r="J94" s="51">
        <v>173.23826440000013</v>
      </c>
      <c r="K94" s="51">
        <f t="shared" si="4"/>
        <v>264.50448440000014</v>
      </c>
      <c r="M94" s="47"/>
      <c r="N94" s="108">
        <f t="shared" si="5"/>
        <v>9544432745.9099998</v>
      </c>
    </row>
    <row r="95" spans="1:14" ht="15.75">
      <c r="A95" s="48">
        <v>41214</v>
      </c>
      <c r="B95" s="65">
        <v>101.18559</v>
      </c>
      <c r="C95" s="49">
        <v>499.98899999999998</v>
      </c>
      <c r="D95" s="106">
        <v>9154.4023436899988</v>
      </c>
      <c r="E95" s="50">
        <f t="shared" si="3"/>
        <v>9552.2880244899989</v>
      </c>
      <c r="F95" s="84"/>
      <c r="G95" s="84"/>
      <c r="H95" s="84"/>
      <c r="I95" s="51">
        <v>115.01746</v>
      </c>
      <c r="J95" s="51">
        <v>282.86822080000002</v>
      </c>
      <c r="K95" s="51">
        <f t="shared" si="4"/>
        <v>397.88568080000005</v>
      </c>
      <c r="M95" s="47"/>
      <c r="N95" s="108">
        <f t="shared" si="5"/>
        <v>9154402343.6899986</v>
      </c>
    </row>
    <row r="96" spans="1:14" ht="15.75">
      <c r="A96" s="48">
        <v>41244</v>
      </c>
      <c r="B96" s="65">
        <v>97.930130000000005</v>
      </c>
      <c r="C96" s="49">
        <v>503.28300000000002</v>
      </c>
      <c r="D96" s="106">
        <v>10250.9745045</v>
      </c>
      <c r="E96" s="50">
        <f t="shared" si="3"/>
        <v>10563.973807120001</v>
      </c>
      <c r="F96" s="84"/>
      <c r="G96" s="84"/>
      <c r="H96" s="84"/>
      <c r="I96" s="51">
        <v>151.18835999999999</v>
      </c>
      <c r="J96" s="51">
        <v>161.81094262000011</v>
      </c>
      <c r="K96" s="51">
        <f t="shared" si="4"/>
        <v>312.99930262000009</v>
      </c>
      <c r="M96" s="47"/>
      <c r="N96" s="108">
        <f t="shared" si="5"/>
        <v>10250974504.5</v>
      </c>
    </row>
    <row r="97" spans="1:14" ht="15.75">
      <c r="A97" s="48">
        <v>41275</v>
      </c>
      <c r="B97" s="65">
        <v>97.792640000000006</v>
      </c>
      <c r="C97" s="49">
        <v>504.83</v>
      </c>
      <c r="D97" s="106">
        <v>8799.3593926400008</v>
      </c>
      <c r="E97" s="50">
        <f t="shared" si="3"/>
        <v>9138.6176854799996</v>
      </c>
      <c r="F97" s="84"/>
      <c r="G97" s="84"/>
      <c r="H97" s="84"/>
      <c r="I97" s="68">
        <v>146.88551999999999</v>
      </c>
      <c r="J97" s="68">
        <v>192.37277283999978</v>
      </c>
      <c r="K97" s="68">
        <f t="shared" si="4"/>
        <v>339.25829283999974</v>
      </c>
      <c r="M97" s="47"/>
      <c r="N97" s="108">
        <f t="shared" si="5"/>
        <v>8799359392.6400013</v>
      </c>
    </row>
    <row r="98" spans="1:14" ht="15.75">
      <c r="A98" s="48">
        <v>41306</v>
      </c>
      <c r="B98" s="65">
        <v>95.557860000000005</v>
      </c>
      <c r="C98" s="49">
        <v>505.83199999999999</v>
      </c>
      <c r="D98" s="106">
        <v>8690.4333789199991</v>
      </c>
      <c r="E98" s="50">
        <f t="shared" si="3"/>
        <v>9010.4368222899993</v>
      </c>
      <c r="F98" s="84"/>
      <c r="G98" s="84"/>
      <c r="H98" s="84"/>
      <c r="I98" s="68">
        <v>92.392070000000004</v>
      </c>
      <c r="J98" s="68">
        <v>227.61137337</v>
      </c>
      <c r="K98" s="68">
        <f t="shared" si="4"/>
        <v>320.00344337000001</v>
      </c>
      <c r="M98" s="47"/>
      <c r="N98" s="108">
        <f t="shared" si="5"/>
        <v>8690433378.9199982</v>
      </c>
    </row>
    <row r="99" spans="1:14" ht="15.75">
      <c r="A99" s="48">
        <v>41334</v>
      </c>
      <c r="B99" s="65">
        <v>103.89208000000001</v>
      </c>
      <c r="C99" s="49">
        <v>507.375</v>
      </c>
      <c r="D99" s="106">
        <v>8698.4449568700002</v>
      </c>
      <c r="E99" s="50">
        <f t="shared" si="3"/>
        <v>8931.0852515099996</v>
      </c>
      <c r="F99" s="84"/>
      <c r="G99" s="84"/>
      <c r="H99" s="84"/>
      <c r="I99" s="68">
        <v>95.573850000000007</v>
      </c>
      <c r="J99" s="68">
        <v>137.0664446400001</v>
      </c>
      <c r="K99" s="68">
        <f t="shared" si="4"/>
        <v>232.64029464000009</v>
      </c>
      <c r="M99" s="47"/>
      <c r="N99" s="108">
        <f t="shared" si="5"/>
        <v>8698444956.8700008</v>
      </c>
    </row>
    <row r="100" spans="1:14" ht="15.75">
      <c r="A100" s="48">
        <v>41365</v>
      </c>
      <c r="B100" s="65">
        <v>105.14332</v>
      </c>
      <c r="C100" s="49">
        <v>507.08699999999999</v>
      </c>
      <c r="D100" s="106">
        <v>9446.9837072800001</v>
      </c>
      <c r="E100" s="50">
        <f t="shared" si="3"/>
        <v>9646.6344948999995</v>
      </c>
      <c r="F100" s="84"/>
      <c r="G100" s="84"/>
      <c r="H100" s="84"/>
      <c r="I100" s="68">
        <v>116.7427</v>
      </c>
      <c r="J100" s="68">
        <v>82.90808761999989</v>
      </c>
      <c r="K100" s="68">
        <f t="shared" si="4"/>
        <v>199.6507876199999</v>
      </c>
      <c r="M100" s="47"/>
      <c r="N100" s="108">
        <f t="shared" si="5"/>
        <v>9446983707.2800007</v>
      </c>
    </row>
    <row r="101" spans="1:14" ht="15.75">
      <c r="A101" s="48">
        <v>41395</v>
      </c>
      <c r="B101" s="65">
        <v>103.20232</v>
      </c>
      <c r="C101" s="49">
        <v>508.71499999999997</v>
      </c>
      <c r="D101" s="106">
        <v>9497.9887738799989</v>
      </c>
      <c r="E101" s="50">
        <f t="shared" si="3"/>
        <v>9781.7271133099985</v>
      </c>
      <c r="F101" s="84"/>
      <c r="G101" s="84"/>
      <c r="H101" s="84"/>
      <c r="I101" s="68">
        <v>110.62367999999999</v>
      </c>
      <c r="J101" s="68">
        <v>173.11465943000013</v>
      </c>
      <c r="K101" s="68">
        <f t="shared" si="4"/>
        <v>283.73833943000011</v>
      </c>
      <c r="M101" s="47"/>
      <c r="N101" s="108">
        <f t="shared" si="5"/>
        <v>9497988773.8799992</v>
      </c>
    </row>
    <row r="102" spans="1:14" ht="15.75">
      <c r="A102" s="48">
        <v>41426</v>
      </c>
      <c r="B102" s="65">
        <v>101.69074999999999</v>
      </c>
      <c r="C102" s="49">
        <v>512.59799999999996</v>
      </c>
      <c r="D102" s="106">
        <v>9133.4767647000026</v>
      </c>
      <c r="E102" s="50">
        <f t="shared" si="3"/>
        <v>9402.9213862400029</v>
      </c>
      <c r="F102" s="84"/>
      <c r="G102" s="84"/>
      <c r="H102" s="84"/>
      <c r="I102" s="68">
        <v>102.92613</v>
      </c>
      <c r="J102" s="68">
        <v>166.51849153999999</v>
      </c>
      <c r="K102" s="68">
        <f t="shared" si="4"/>
        <v>269.44462153999996</v>
      </c>
      <c r="M102" s="47"/>
      <c r="N102" s="108">
        <f t="shared" si="5"/>
        <v>9133476764.7000027</v>
      </c>
    </row>
    <row r="103" spans="1:14" ht="15.75">
      <c r="A103" s="48">
        <v>41456</v>
      </c>
      <c r="B103" s="65">
        <v>106.78118000000001</v>
      </c>
      <c r="C103" s="49">
        <v>513.31299999999999</v>
      </c>
      <c r="D103" s="106">
        <v>9657.1288350199993</v>
      </c>
      <c r="E103" s="50">
        <f t="shared" si="3"/>
        <v>9928.580568379999</v>
      </c>
      <c r="F103" s="84"/>
      <c r="G103" s="84"/>
      <c r="H103" s="84"/>
      <c r="I103" s="68">
        <v>125.48102</v>
      </c>
      <c r="J103" s="68">
        <v>145.97071336000002</v>
      </c>
      <c r="K103" s="68">
        <f t="shared" si="4"/>
        <v>271.45173336000005</v>
      </c>
      <c r="M103" s="47"/>
      <c r="N103" s="108">
        <f t="shared" si="5"/>
        <v>9657128835.0199986</v>
      </c>
    </row>
    <row r="104" spans="1:14" ht="15.75">
      <c r="A104" s="48">
        <v>41487</v>
      </c>
      <c r="B104" s="65">
        <v>106.55791000000001</v>
      </c>
      <c r="C104" s="49">
        <v>515.68799999999999</v>
      </c>
      <c r="D104" s="106">
        <v>9604.4068822900008</v>
      </c>
      <c r="E104" s="50">
        <f t="shared" si="3"/>
        <v>9919.3631146000007</v>
      </c>
      <c r="F104" s="84"/>
      <c r="G104" s="84"/>
      <c r="H104" s="84"/>
      <c r="I104" s="68">
        <v>100.31138</v>
      </c>
      <c r="J104" s="68">
        <v>214.64485231000012</v>
      </c>
      <c r="K104" s="68">
        <f t="shared" si="4"/>
        <v>314.95623231000013</v>
      </c>
      <c r="M104" s="47"/>
      <c r="N104" s="108">
        <f t="shared" si="5"/>
        <v>9604406882.2900009</v>
      </c>
    </row>
    <row r="105" spans="1:14" ht="15.75">
      <c r="A105" s="48">
        <v>41518</v>
      </c>
      <c r="B105" s="65">
        <v>103.37138</v>
      </c>
      <c r="C105" s="49">
        <v>522.69000000000005</v>
      </c>
      <c r="D105" s="106">
        <v>10115.359517450001</v>
      </c>
      <c r="E105" s="50">
        <f t="shared" si="3"/>
        <v>10384.174134680001</v>
      </c>
      <c r="F105" s="84"/>
      <c r="G105" s="84"/>
      <c r="H105" s="84"/>
      <c r="I105" s="68">
        <v>102.32805</v>
      </c>
      <c r="J105" s="68">
        <v>166.48656722999991</v>
      </c>
      <c r="K105" s="68">
        <f t="shared" si="4"/>
        <v>268.8146172299999</v>
      </c>
      <c r="M105" s="47"/>
      <c r="N105" s="108">
        <f t="shared" si="5"/>
        <v>10115359517.450001</v>
      </c>
    </row>
    <row r="106" spans="1:14" ht="15.75">
      <c r="A106" s="48">
        <v>41548</v>
      </c>
      <c r="B106" s="65">
        <v>106.62513</v>
      </c>
      <c r="C106" s="49">
        <v>525.96600000000001</v>
      </c>
      <c r="D106" s="106">
        <v>10209.787506000001</v>
      </c>
      <c r="E106" s="50">
        <f t="shared" si="3"/>
        <v>10546.866074650001</v>
      </c>
      <c r="F106" s="84"/>
      <c r="G106" s="84"/>
      <c r="H106" s="84"/>
      <c r="I106" s="68">
        <v>128.42320000000001</v>
      </c>
      <c r="J106" s="68">
        <v>208.65536864999999</v>
      </c>
      <c r="K106" s="68">
        <f t="shared" si="4"/>
        <v>337.07856864999997</v>
      </c>
      <c r="M106" s="47"/>
      <c r="N106" s="108">
        <f t="shared" si="5"/>
        <v>10209787506</v>
      </c>
    </row>
    <row r="107" spans="1:14" ht="15.75">
      <c r="A107" s="48">
        <v>41579</v>
      </c>
      <c r="B107" s="65">
        <v>103.73737</v>
      </c>
      <c r="C107" s="49">
        <v>527.42200000000003</v>
      </c>
      <c r="D107" s="106">
        <v>9712.7949268200009</v>
      </c>
      <c r="E107" s="50">
        <f t="shared" si="3"/>
        <v>10090.123040410001</v>
      </c>
      <c r="F107" s="84"/>
      <c r="G107" s="84"/>
      <c r="H107" s="84"/>
      <c r="I107" s="68">
        <v>133.60559000000001</v>
      </c>
      <c r="J107" s="68">
        <v>243.72252359000021</v>
      </c>
      <c r="K107" s="68">
        <f t="shared" si="4"/>
        <v>377.32811359000021</v>
      </c>
      <c r="M107" s="47"/>
      <c r="N107" s="108">
        <f t="shared" si="5"/>
        <v>9712794926.8200016</v>
      </c>
    </row>
    <row r="108" spans="1:14" ht="15.75">
      <c r="A108" s="48">
        <v>41609</v>
      </c>
      <c r="B108" s="65">
        <v>102.32088</v>
      </c>
      <c r="C108" s="49">
        <v>531.05600000000004</v>
      </c>
      <c r="D108" s="106">
        <v>10767.61967575</v>
      </c>
      <c r="E108" s="50">
        <f t="shared" si="3"/>
        <v>11117.86962274</v>
      </c>
      <c r="F108" s="84"/>
      <c r="G108" s="84"/>
      <c r="H108" s="84"/>
      <c r="I108" s="68">
        <v>205.05850000000001</v>
      </c>
      <c r="J108" s="68">
        <v>145.19144698999989</v>
      </c>
      <c r="K108" s="68">
        <f t="shared" si="4"/>
        <v>350.2499469899999</v>
      </c>
      <c r="M108" s="47"/>
      <c r="N108" s="108">
        <f t="shared" si="5"/>
        <v>10767619675.75</v>
      </c>
    </row>
    <row r="109" spans="1:14" ht="15.75">
      <c r="A109" s="48">
        <v>41640</v>
      </c>
      <c r="B109" s="65">
        <v>100.17636</v>
      </c>
      <c r="C109" s="49">
        <v>533.197</v>
      </c>
      <c r="D109" s="106">
        <v>9803.2782867100013</v>
      </c>
      <c r="E109" s="50">
        <f t="shared" si="3"/>
        <v>10199.378765240001</v>
      </c>
      <c r="F109" s="84"/>
      <c r="G109" s="84"/>
      <c r="H109" s="84"/>
      <c r="I109" s="51">
        <v>174.73157999999998</v>
      </c>
      <c r="J109" s="51">
        <v>221.36889852999991</v>
      </c>
      <c r="K109" s="51">
        <f t="shared" si="4"/>
        <v>396.10047852999992</v>
      </c>
      <c r="M109" s="47"/>
      <c r="N109" s="108">
        <f t="shared" si="5"/>
        <v>9803278286.710001</v>
      </c>
    </row>
    <row r="110" spans="1:14" ht="15.75">
      <c r="A110" s="48">
        <v>41671</v>
      </c>
      <c r="B110" s="65">
        <v>100.74612999999999</v>
      </c>
      <c r="C110" s="49">
        <v>537.70299999999997</v>
      </c>
      <c r="D110" s="106">
        <v>9687.7601693799988</v>
      </c>
      <c r="E110" s="50">
        <f t="shared" si="3"/>
        <v>9993.045609509998</v>
      </c>
      <c r="F110" s="84"/>
      <c r="G110" s="84"/>
      <c r="H110" s="84"/>
      <c r="I110" s="51">
        <v>132.66593</v>
      </c>
      <c r="J110" s="51">
        <v>172.61951013000001</v>
      </c>
      <c r="K110" s="51">
        <f t="shared" si="4"/>
        <v>305.28544012999998</v>
      </c>
      <c r="M110" s="47"/>
      <c r="N110" s="108">
        <f t="shared" si="5"/>
        <v>9687760169.3799992</v>
      </c>
    </row>
    <row r="111" spans="1:14" ht="15.75">
      <c r="A111" s="48">
        <v>41699</v>
      </c>
      <c r="B111" s="65">
        <v>104.60701</v>
      </c>
      <c r="C111" s="49">
        <v>545.68399999999997</v>
      </c>
      <c r="D111" s="106">
        <v>9465.0541428399993</v>
      </c>
      <c r="E111" s="50">
        <f t="shared" si="3"/>
        <v>9797.7348344599995</v>
      </c>
      <c r="F111" s="84"/>
      <c r="G111" s="84"/>
      <c r="H111" s="84"/>
      <c r="I111" s="51">
        <v>144.70295999999999</v>
      </c>
      <c r="J111" s="51">
        <v>187.97773162000081</v>
      </c>
      <c r="K111" s="51">
        <f t="shared" si="4"/>
        <v>332.6806916200008</v>
      </c>
      <c r="M111" s="47"/>
      <c r="N111" s="108">
        <f t="shared" si="5"/>
        <v>9465054142.8400002</v>
      </c>
    </row>
    <row r="112" spans="1:14" ht="15.75">
      <c r="A112" s="48">
        <v>41730</v>
      </c>
      <c r="B112" s="65">
        <v>103.6696</v>
      </c>
      <c r="C112" s="49">
        <v>548.14499999999998</v>
      </c>
      <c r="D112" s="106">
        <v>9635.4295905299987</v>
      </c>
      <c r="E112" s="50">
        <f t="shared" si="3"/>
        <v>9865.0677569499985</v>
      </c>
      <c r="F112" s="84"/>
      <c r="G112" s="84"/>
      <c r="H112" s="84"/>
      <c r="I112" s="51">
        <v>151.11251000000001</v>
      </c>
      <c r="J112" s="51">
        <v>78.525656420000004</v>
      </c>
      <c r="K112" s="51">
        <f t="shared" si="4"/>
        <v>229.63816642</v>
      </c>
      <c r="M112" s="47"/>
      <c r="N112" s="108">
        <f t="shared" si="5"/>
        <v>9635429590.5299988</v>
      </c>
    </row>
    <row r="113" spans="1:14" ht="15.75">
      <c r="A113" s="48">
        <v>41760</v>
      </c>
      <c r="B113" s="65">
        <v>103.28349</v>
      </c>
      <c r="C113" s="49">
        <v>545.65200000000004</v>
      </c>
      <c r="D113" s="106">
        <v>9819.0793024699997</v>
      </c>
      <c r="E113" s="50">
        <f t="shared" si="3"/>
        <v>10072.93272673</v>
      </c>
      <c r="F113" s="84"/>
      <c r="G113" s="84"/>
      <c r="H113" s="84"/>
      <c r="I113" s="51">
        <v>170.25107</v>
      </c>
      <c r="J113" s="51">
        <v>83.602354260000112</v>
      </c>
      <c r="K113" s="51">
        <f t="shared" si="4"/>
        <v>253.85342426000011</v>
      </c>
      <c r="M113" s="47"/>
      <c r="N113" s="108">
        <f t="shared" si="5"/>
        <v>9819079302.4699993</v>
      </c>
    </row>
    <row r="114" spans="1:14" ht="15.75">
      <c r="A114" s="48">
        <v>41791</v>
      </c>
      <c r="B114" s="65">
        <v>98.889330000000001</v>
      </c>
      <c r="C114" s="49">
        <v>542.19399999999996</v>
      </c>
      <c r="D114" s="106">
        <v>9677.264495049998</v>
      </c>
      <c r="E114" s="50">
        <f t="shared" si="3"/>
        <v>9948.4004255499985</v>
      </c>
      <c r="F114" s="84"/>
      <c r="G114" s="84"/>
      <c r="H114" s="84"/>
      <c r="I114" s="51">
        <v>183.52970999999999</v>
      </c>
      <c r="J114" s="51">
        <v>87.606220500000788</v>
      </c>
      <c r="K114" s="51">
        <f t="shared" si="4"/>
        <v>271.13593050000077</v>
      </c>
      <c r="M114" s="47"/>
      <c r="N114" s="108">
        <f t="shared" si="5"/>
        <v>9677264495.0499973</v>
      </c>
    </row>
    <row r="115" spans="1:14" ht="15.75">
      <c r="A115" s="48">
        <v>41821</v>
      </c>
      <c r="B115" s="65">
        <v>105.18259</v>
      </c>
      <c r="C115" s="49">
        <v>539.21</v>
      </c>
      <c r="D115" s="106">
        <v>9594.5899213000012</v>
      </c>
      <c r="E115" s="50">
        <f t="shared" si="3"/>
        <v>9891.2635135000019</v>
      </c>
      <c r="F115" s="84"/>
      <c r="G115" s="84"/>
      <c r="H115" s="84"/>
      <c r="I115" s="51">
        <v>203.89127999999999</v>
      </c>
      <c r="J115" s="51">
        <v>92.782312200000007</v>
      </c>
      <c r="K115" s="51">
        <f t="shared" si="4"/>
        <v>296.67359220000003</v>
      </c>
      <c r="M115" s="47"/>
      <c r="N115" s="108">
        <f t="shared" si="5"/>
        <v>9594589921.3000011</v>
      </c>
    </row>
    <row r="116" spans="1:14" ht="15.75">
      <c r="A116" s="48">
        <v>41852</v>
      </c>
      <c r="B116" s="65">
        <v>104.07689999999999</v>
      </c>
      <c r="C116" s="49">
        <v>539.54999999999995</v>
      </c>
      <c r="D116" s="106">
        <v>9500.0596992199989</v>
      </c>
      <c r="E116" s="50">
        <f t="shared" si="3"/>
        <v>9818.0067754299998</v>
      </c>
      <c r="F116" s="84"/>
      <c r="G116" s="84"/>
      <c r="H116" s="84"/>
      <c r="I116" s="51">
        <v>189.66489999999999</v>
      </c>
      <c r="J116" s="51">
        <v>128.28217621000007</v>
      </c>
      <c r="K116" s="51">
        <f t="shared" si="4"/>
        <v>317.94707621000009</v>
      </c>
      <c r="M116" s="47"/>
      <c r="N116" s="108">
        <f t="shared" si="5"/>
        <v>9500059699.2199993</v>
      </c>
    </row>
    <row r="117" spans="1:14" ht="15.75">
      <c r="A117" s="48">
        <v>41883</v>
      </c>
      <c r="B117" s="65">
        <v>103.97029000000001</v>
      </c>
      <c r="C117" s="49">
        <v>539.649</v>
      </c>
      <c r="D117" s="106">
        <v>9796.9700524599994</v>
      </c>
      <c r="E117" s="50">
        <f t="shared" si="3"/>
        <v>10675.3351559</v>
      </c>
      <c r="F117" s="84"/>
      <c r="G117" s="84"/>
      <c r="H117" s="84"/>
      <c r="I117" s="51">
        <v>688.36360999999999</v>
      </c>
      <c r="J117" s="51">
        <v>190.0014934400001</v>
      </c>
      <c r="K117" s="51">
        <f t="shared" si="4"/>
        <v>878.3651034400001</v>
      </c>
      <c r="M117" s="47"/>
      <c r="N117" s="108">
        <f t="shared" si="5"/>
        <v>9796970052.4599991</v>
      </c>
    </row>
    <row r="118" spans="1:14" ht="15.75">
      <c r="A118" s="48">
        <v>41913</v>
      </c>
      <c r="B118" s="65">
        <v>105.08107</v>
      </c>
      <c r="C118" s="49">
        <v>542.85299999999995</v>
      </c>
      <c r="D118" s="106">
        <v>10633.628201899999</v>
      </c>
      <c r="E118" s="50">
        <f t="shared" si="3"/>
        <v>10924.351247339999</v>
      </c>
      <c r="F118" s="84"/>
      <c r="G118" s="84"/>
      <c r="H118" s="84"/>
      <c r="I118" s="51">
        <v>179.52155999999999</v>
      </c>
      <c r="J118" s="51">
        <v>111.20148543999991</v>
      </c>
      <c r="K118" s="51">
        <f t="shared" si="4"/>
        <v>290.72304543999991</v>
      </c>
      <c r="M118" s="47"/>
      <c r="N118" s="108">
        <f t="shared" si="5"/>
        <v>10633628201.9</v>
      </c>
    </row>
    <row r="119" spans="1:14" ht="15.75">
      <c r="A119" s="48">
        <v>41944</v>
      </c>
      <c r="B119" s="65">
        <v>101.72331</v>
      </c>
      <c r="C119" s="49">
        <v>549.04</v>
      </c>
      <c r="D119" s="106">
        <v>10152.442434940001</v>
      </c>
      <c r="E119" s="50">
        <f t="shared" si="3"/>
        <v>10484.248857520002</v>
      </c>
      <c r="F119" s="84"/>
      <c r="G119" s="84"/>
      <c r="H119" s="84"/>
      <c r="I119" s="51">
        <v>213.35767000000001</v>
      </c>
      <c r="J119" s="51">
        <v>118.44875258</v>
      </c>
      <c r="K119" s="51">
        <f t="shared" si="4"/>
        <v>331.80642258</v>
      </c>
      <c r="M119" s="47"/>
      <c r="N119" s="108">
        <f t="shared" si="5"/>
        <v>10152442434.940001</v>
      </c>
    </row>
    <row r="120" spans="1:14" ht="15.75">
      <c r="A120" s="48">
        <v>41974</v>
      </c>
      <c r="B120" s="65">
        <v>102.11346</v>
      </c>
      <c r="C120" s="49">
        <v>551.149</v>
      </c>
      <c r="D120" s="106">
        <v>11240.824439119999</v>
      </c>
      <c r="E120" s="50">
        <f t="shared" si="3"/>
        <v>11687.273980169999</v>
      </c>
      <c r="F120" s="84"/>
      <c r="G120" s="84"/>
      <c r="H120" s="84"/>
      <c r="I120" s="51">
        <v>196.74289000000002</v>
      </c>
      <c r="J120" s="51">
        <v>249.70665104999989</v>
      </c>
      <c r="K120" s="51">
        <f t="shared" si="4"/>
        <v>446.44954104999988</v>
      </c>
      <c r="M120" s="47"/>
      <c r="N120" s="108">
        <f t="shared" si="5"/>
        <v>11240824439.119999</v>
      </c>
    </row>
    <row r="121" spans="1:14" ht="15.75">
      <c r="A121" s="48">
        <v>42005</v>
      </c>
      <c r="B121" s="65">
        <v>97.5869</v>
      </c>
      <c r="C121" s="49">
        <v>554.83500000000004</v>
      </c>
      <c r="D121" s="106">
        <v>9987.8253214999986</v>
      </c>
      <c r="E121" s="50">
        <f t="shared" si="3"/>
        <v>10330.568178349999</v>
      </c>
      <c r="F121" s="84"/>
      <c r="G121" s="84"/>
      <c r="H121" s="84"/>
      <c r="I121" s="68">
        <v>221.16776999999999</v>
      </c>
      <c r="J121" s="68">
        <v>121.57508684999999</v>
      </c>
      <c r="K121" s="68">
        <f t="shared" si="4"/>
        <v>342.74285684999995</v>
      </c>
      <c r="M121" s="47"/>
      <c r="N121" s="108">
        <f t="shared" si="5"/>
        <v>9987825321.4999981</v>
      </c>
    </row>
    <row r="122" spans="1:14" ht="15.75">
      <c r="A122" s="48">
        <v>42036</v>
      </c>
      <c r="B122" s="65">
        <v>96.03595</v>
      </c>
      <c r="C122" s="49">
        <v>557.803</v>
      </c>
      <c r="D122" s="106">
        <v>9919.4767717699997</v>
      </c>
      <c r="E122" s="50">
        <f t="shared" si="3"/>
        <v>10202.577021089999</v>
      </c>
      <c r="F122" s="84"/>
      <c r="G122" s="84"/>
      <c r="H122" s="84"/>
      <c r="I122" s="68">
        <v>175.02367000000001</v>
      </c>
      <c r="J122" s="68">
        <v>108.07657932000001</v>
      </c>
      <c r="K122" s="68">
        <f t="shared" si="4"/>
        <v>283.10024931999999</v>
      </c>
      <c r="M122" s="47"/>
      <c r="N122" s="108">
        <f t="shared" si="5"/>
        <v>9919476771.7700005</v>
      </c>
    </row>
    <row r="123" spans="1:14" ht="15.75">
      <c r="A123" s="48">
        <v>42064</v>
      </c>
      <c r="B123" s="65">
        <v>104.94566</v>
      </c>
      <c r="C123" s="49">
        <v>564.56799999999998</v>
      </c>
      <c r="D123" s="106">
        <v>9871.7265702900004</v>
      </c>
      <c r="E123" s="50">
        <f t="shared" si="3"/>
        <v>10260.552634830001</v>
      </c>
      <c r="F123" s="84"/>
      <c r="G123" s="84"/>
      <c r="H123" s="84"/>
      <c r="I123" s="68">
        <v>197.47251</v>
      </c>
      <c r="J123" s="68">
        <v>191.35355454000003</v>
      </c>
      <c r="K123" s="68">
        <f t="shared" si="4"/>
        <v>388.82606454000006</v>
      </c>
      <c r="M123" s="47"/>
      <c r="N123" s="108">
        <f t="shared" si="5"/>
        <v>9871726570.2900009</v>
      </c>
    </row>
    <row r="124" spans="1:14" ht="15.75">
      <c r="A124" s="48">
        <v>42095</v>
      </c>
      <c r="B124" s="65">
        <v>99.995040000000003</v>
      </c>
      <c r="C124" s="49">
        <v>569.73800000000006</v>
      </c>
      <c r="D124" s="106">
        <v>10376.39963025</v>
      </c>
      <c r="E124" s="50">
        <f t="shared" si="3"/>
        <v>10684.649162469999</v>
      </c>
      <c r="F124" s="84"/>
      <c r="G124" s="84"/>
      <c r="H124" s="84"/>
      <c r="I124" s="68">
        <v>200.80104</v>
      </c>
      <c r="J124" s="68">
        <v>107.44849222000002</v>
      </c>
      <c r="K124" s="68">
        <f t="shared" si="4"/>
        <v>308.24953221999999</v>
      </c>
      <c r="M124" s="47"/>
      <c r="N124" s="108">
        <f t="shared" si="5"/>
        <v>10376399630.25</v>
      </c>
    </row>
    <row r="125" spans="1:14" ht="15.75">
      <c r="A125" s="48">
        <v>42125</v>
      </c>
      <c r="B125" s="65">
        <v>98.077430000000007</v>
      </c>
      <c r="C125" s="49">
        <v>572.03399999999999</v>
      </c>
      <c r="D125" s="106">
        <v>9740.0058058699997</v>
      </c>
      <c r="E125" s="50">
        <f t="shared" si="3"/>
        <v>10066.862864729999</v>
      </c>
      <c r="F125" s="84"/>
      <c r="G125" s="84"/>
      <c r="H125" s="84"/>
      <c r="I125" s="68">
        <v>176.90071</v>
      </c>
      <c r="J125" s="68">
        <v>149.95634886000002</v>
      </c>
      <c r="K125" s="68">
        <f t="shared" si="4"/>
        <v>326.85705886000005</v>
      </c>
      <c r="M125" s="47"/>
      <c r="N125" s="108">
        <f t="shared" si="5"/>
        <v>9740005805.8699989</v>
      </c>
    </row>
    <row r="126" spans="1:14" ht="15.75">
      <c r="A126" s="48">
        <v>42156</v>
      </c>
      <c r="B126" s="65">
        <v>97.175219999999996</v>
      </c>
      <c r="C126" s="49">
        <v>575.93799999999999</v>
      </c>
      <c r="D126" s="106">
        <v>10323.07050613</v>
      </c>
      <c r="E126" s="50">
        <f t="shared" si="3"/>
        <v>10602.30113521</v>
      </c>
      <c r="F126" s="84"/>
      <c r="G126" s="84"/>
      <c r="H126" s="84"/>
      <c r="I126" s="68">
        <v>164.96298000000002</v>
      </c>
      <c r="J126" s="68">
        <v>114.26764908000008</v>
      </c>
      <c r="K126" s="68">
        <f t="shared" si="4"/>
        <v>279.23062908000009</v>
      </c>
      <c r="M126" s="47"/>
      <c r="N126" s="108">
        <f t="shared" si="5"/>
        <v>10323070506.129999</v>
      </c>
    </row>
    <row r="127" spans="1:14" ht="15.75">
      <c r="A127" s="48">
        <v>42186</v>
      </c>
      <c r="B127" s="65">
        <v>100.45623999999999</v>
      </c>
      <c r="C127" s="49">
        <v>579.29300000000001</v>
      </c>
      <c r="D127" s="106">
        <v>10294.871977880002</v>
      </c>
      <c r="E127" s="50">
        <f t="shared" si="3"/>
        <v>10567.980975100003</v>
      </c>
      <c r="F127" s="84"/>
      <c r="G127" s="84"/>
      <c r="H127" s="84"/>
      <c r="I127" s="68">
        <v>152.60391000000001</v>
      </c>
      <c r="J127" s="68">
        <v>120.50508721999999</v>
      </c>
      <c r="K127" s="68">
        <f t="shared" si="4"/>
        <v>273.10899721999999</v>
      </c>
      <c r="M127" s="47"/>
      <c r="N127" s="108">
        <f t="shared" si="5"/>
        <v>10294871977.880003</v>
      </c>
    </row>
    <row r="128" spans="1:14" ht="15.75">
      <c r="A128" s="48">
        <v>42217</v>
      </c>
      <c r="B128" s="65">
        <v>98.774979999999999</v>
      </c>
      <c r="C128" s="49">
        <v>581.61800000000005</v>
      </c>
      <c r="D128" s="106">
        <v>9864.9424343499995</v>
      </c>
      <c r="E128" s="50">
        <f t="shared" si="3"/>
        <v>10153.855550319999</v>
      </c>
      <c r="F128" s="84"/>
      <c r="G128" s="84"/>
      <c r="H128" s="84"/>
      <c r="I128" s="68">
        <v>193.21692999999999</v>
      </c>
      <c r="J128" s="68">
        <v>95.696185970000002</v>
      </c>
      <c r="K128" s="68">
        <f t="shared" si="4"/>
        <v>288.91311596999998</v>
      </c>
      <c r="M128" s="47"/>
      <c r="N128" s="108">
        <f t="shared" si="5"/>
        <v>9864942434.3500004</v>
      </c>
    </row>
    <row r="129" spans="1:14" ht="15.75">
      <c r="A129" s="48">
        <v>42248</v>
      </c>
      <c r="B129" s="65">
        <v>96.877589999999998</v>
      </c>
      <c r="C129" s="49">
        <v>589.89700000000005</v>
      </c>
      <c r="D129" s="106">
        <v>10510.189118940001</v>
      </c>
      <c r="E129" s="50">
        <f t="shared" si="3"/>
        <v>10799.409577150001</v>
      </c>
      <c r="F129" s="84"/>
      <c r="G129" s="84"/>
      <c r="H129" s="84"/>
      <c r="I129" s="68">
        <v>143.43208999999999</v>
      </c>
      <c r="J129" s="68">
        <v>145.7883682099999</v>
      </c>
      <c r="K129" s="68">
        <f t="shared" si="4"/>
        <v>289.22045820999989</v>
      </c>
      <c r="M129" s="47"/>
      <c r="N129" s="108">
        <f t="shared" si="5"/>
        <v>10510189118.940001</v>
      </c>
    </row>
    <row r="130" spans="1:14" ht="15.75">
      <c r="A130" s="48">
        <v>42278</v>
      </c>
      <c r="B130" s="65">
        <v>98.374459999999999</v>
      </c>
      <c r="C130" s="49">
        <v>600.26900000000001</v>
      </c>
      <c r="D130" s="106">
        <v>10566.38705666</v>
      </c>
      <c r="E130" s="50">
        <f t="shared" ref="E130:E156" si="6">D130+K130</f>
        <v>10834.89730766</v>
      </c>
      <c r="F130" s="84"/>
      <c r="G130" s="84"/>
      <c r="H130" s="84"/>
      <c r="I130" s="68">
        <v>177.45867000000001</v>
      </c>
      <c r="J130" s="68">
        <v>91.051581000000212</v>
      </c>
      <c r="K130" s="68">
        <f t="shared" si="4"/>
        <v>268.51025100000021</v>
      </c>
      <c r="M130" s="47"/>
      <c r="N130" s="108">
        <f t="shared" si="5"/>
        <v>10566387056.66</v>
      </c>
    </row>
    <row r="131" spans="1:14" ht="15.75">
      <c r="A131" s="48">
        <v>42309</v>
      </c>
      <c r="B131" s="65">
        <v>95.534139999999994</v>
      </c>
      <c r="C131" s="49">
        <v>607.44100000000003</v>
      </c>
      <c r="D131" s="106">
        <v>10296.081459379999</v>
      </c>
      <c r="E131" s="50">
        <f t="shared" si="6"/>
        <v>10538.217787419999</v>
      </c>
      <c r="F131" s="84"/>
      <c r="G131" s="84"/>
      <c r="H131" s="84"/>
      <c r="I131" s="68">
        <v>150.16824</v>
      </c>
      <c r="J131" s="68">
        <v>91.968088040000012</v>
      </c>
      <c r="K131" s="68">
        <f t="shared" ref="K131:K156" si="7">I131+J131</f>
        <v>242.13632804000002</v>
      </c>
      <c r="M131" s="47"/>
      <c r="N131" s="108">
        <f t="shared" ref="N131:N194" si="8">D131*1000000</f>
        <v>10296081459.379999</v>
      </c>
    </row>
    <row r="132" spans="1:14" ht="15.75">
      <c r="A132" s="48">
        <v>42339</v>
      </c>
      <c r="B132" s="65">
        <v>95.644109999999998</v>
      </c>
      <c r="C132" s="49">
        <v>610.12800000000004</v>
      </c>
      <c r="D132" s="106">
        <v>11094.379335879999</v>
      </c>
      <c r="E132" s="50">
        <f t="shared" si="6"/>
        <v>11320.931329019999</v>
      </c>
      <c r="F132" s="84"/>
      <c r="G132" s="84"/>
      <c r="H132" s="84"/>
      <c r="I132" s="68">
        <v>137.24089000000001</v>
      </c>
      <c r="J132" s="68">
        <v>89.3111031400001</v>
      </c>
      <c r="K132" s="68">
        <f t="shared" si="7"/>
        <v>226.55199314000009</v>
      </c>
      <c r="M132" s="47"/>
      <c r="N132" s="108">
        <f t="shared" si="8"/>
        <v>11094379335.879999</v>
      </c>
    </row>
    <row r="133" spans="1:14" ht="15.75">
      <c r="A133" s="48">
        <v>42370</v>
      </c>
      <c r="B133" s="65">
        <v>90.367270000000005</v>
      </c>
      <c r="C133" s="49">
        <v>619.476</v>
      </c>
      <c r="D133" s="106">
        <v>10249.097279229998</v>
      </c>
      <c r="E133" s="50">
        <f t="shared" si="6"/>
        <v>10500.958629479997</v>
      </c>
      <c r="F133" s="84"/>
      <c r="G133" s="84"/>
      <c r="H133" s="84"/>
      <c r="I133" s="51">
        <v>140.89433</v>
      </c>
      <c r="J133" s="51">
        <v>110.96702025000009</v>
      </c>
      <c r="K133" s="51">
        <f t="shared" si="7"/>
        <v>251.8613502500001</v>
      </c>
      <c r="M133" s="47"/>
      <c r="N133" s="108">
        <f t="shared" si="8"/>
        <v>10249097279.229998</v>
      </c>
    </row>
    <row r="134" spans="1:14" ht="15.75">
      <c r="A134" s="48">
        <v>42401</v>
      </c>
      <c r="B134" s="65">
        <v>91.98415</v>
      </c>
      <c r="C134" s="49">
        <v>624.36599999999999</v>
      </c>
      <c r="D134" s="106">
        <v>9823.1252623699984</v>
      </c>
      <c r="E134" s="50">
        <f t="shared" si="6"/>
        <v>10118.215308039998</v>
      </c>
      <c r="F134" s="84"/>
      <c r="G134" s="84"/>
      <c r="H134" s="84"/>
      <c r="I134" s="51">
        <v>179.19042000000002</v>
      </c>
      <c r="J134" s="51">
        <v>115.89962567000001</v>
      </c>
      <c r="K134" s="51">
        <f t="shared" si="7"/>
        <v>295.09004566999999</v>
      </c>
      <c r="M134" s="47"/>
      <c r="N134" s="108">
        <f t="shared" si="8"/>
        <v>9823125262.3699989</v>
      </c>
    </row>
    <row r="135" spans="1:14" ht="15.75">
      <c r="A135" s="48">
        <v>42430</v>
      </c>
      <c r="B135" s="65">
        <v>98.524829999999994</v>
      </c>
      <c r="C135" s="49">
        <v>627.05999999999995</v>
      </c>
      <c r="D135" s="106">
        <v>10034.865566639999</v>
      </c>
      <c r="E135" s="50">
        <f t="shared" si="6"/>
        <v>10352.421985699999</v>
      </c>
      <c r="F135" s="84"/>
      <c r="G135" s="84"/>
      <c r="H135" s="84"/>
      <c r="I135" s="51">
        <v>168.23314999999999</v>
      </c>
      <c r="J135" s="51">
        <v>149.32326906000011</v>
      </c>
      <c r="K135" s="51">
        <f t="shared" si="7"/>
        <v>317.55641906000011</v>
      </c>
      <c r="M135" s="47"/>
      <c r="N135" s="108">
        <f t="shared" si="8"/>
        <v>10034865566.639999</v>
      </c>
    </row>
    <row r="136" spans="1:14" ht="15.75">
      <c r="A136" s="48">
        <v>42461</v>
      </c>
      <c r="B136" s="65">
        <v>95.376199999999997</v>
      </c>
      <c r="C136" s="49">
        <v>629.34500000000003</v>
      </c>
      <c r="D136" s="106">
        <v>9838.0647914700003</v>
      </c>
      <c r="E136" s="50">
        <f t="shared" si="6"/>
        <v>10170.171843669999</v>
      </c>
      <c r="F136" s="84"/>
      <c r="G136" s="84"/>
      <c r="H136" s="84"/>
      <c r="I136" s="51">
        <v>141.00429</v>
      </c>
      <c r="J136" s="51">
        <v>191.10276220000003</v>
      </c>
      <c r="K136" s="51">
        <f t="shared" si="7"/>
        <v>332.1070522</v>
      </c>
      <c r="M136" s="47"/>
      <c r="N136" s="108">
        <f t="shared" si="8"/>
        <v>9838064791.4700012</v>
      </c>
    </row>
    <row r="137" spans="1:14" ht="15.75">
      <c r="A137" s="48">
        <v>42491</v>
      </c>
      <c r="B137" s="65">
        <v>93.465119999999999</v>
      </c>
      <c r="C137" s="49">
        <v>636.46799999999996</v>
      </c>
      <c r="D137" s="106">
        <v>9984.4101170400008</v>
      </c>
      <c r="E137" s="50">
        <f t="shared" si="6"/>
        <v>10299.452528940001</v>
      </c>
      <c r="F137" s="84"/>
      <c r="G137" s="84"/>
      <c r="H137" s="84"/>
      <c r="I137" s="51">
        <v>161.31726</v>
      </c>
      <c r="J137" s="51">
        <v>153.72515190000001</v>
      </c>
      <c r="K137" s="51">
        <f t="shared" si="7"/>
        <v>315.04241190000005</v>
      </c>
      <c r="M137" s="47"/>
      <c r="N137" s="108">
        <f t="shared" si="8"/>
        <v>9984410117.0400009</v>
      </c>
    </row>
    <row r="138" spans="1:14" ht="15.75">
      <c r="A138" s="48">
        <v>42522</v>
      </c>
      <c r="B138" s="65">
        <v>94.763990000000007</v>
      </c>
      <c r="C138" s="49">
        <v>646.86800000000005</v>
      </c>
      <c r="D138" s="106">
        <v>10295.5041824</v>
      </c>
      <c r="E138" s="50">
        <f t="shared" si="6"/>
        <v>10519.988890140001</v>
      </c>
      <c r="F138" s="84"/>
      <c r="G138" s="84"/>
      <c r="H138" s="84"/>
      <c r="I138" s="51">
        <v>156.57463000000001</v>
      </c>
      <c r="J138" s="51">
        <v>67.910077739999991</v>
      </c>
      <c r="K138" s="51">
        <f t="shared" si="7"/>
        <v>224.48470774</v>
      </c>
      <c r="M138" s="47"/>
      <c r="N138" s="108">
        <f t="shared" si="8"/>
        <v>10295504182.4</v>
      </c>
    </row>
    <row r="139" spans="1:14" ht="15.75">
      <c r="A139" s="48">
        <v>42552</v>
      </c>
      <c r="B139" s="65">
        <v>95.822059999999993</v>
      </c>
      <c r="C139" s="49">
        <v>644.35599999999999</v>
      </c>
      <c r="D139" s="106">
        <v>9740.1170486499996</v>
      </c>
      <c r="E139" s="50">
        <f t="shared" si="6"/>
        <v>9988.4310788099992</v>
      </c>
      <c r="F139" s="84"/>
      <c r="G139" s="84"/>
      <c r="H139" s="84"/>
      <c r="I139" s="51">
        <v>178.59853000000001</v>
      </c>
      <c r="J139" s="51">
        <v>69.715500159999905</v>
      </c>
      <c r="K139" s="51">
        <f t="shared" si="7"/>
        <v>248.3140301599999</v>
      </c>
      <c r="M139" s="47"/>
      <c r="N139" s="108">
        <f t="shared" si="8"/>
        <v>9740117048.6499996</v>
      </c>
    </row>
    <row r="140" spans="1:14" ht="15.75">
      <c r="A140" s="48">
        <v>42583</v>
      </c>
      <c r="B140" s="65">
        <v>96.782970000000006</v>
      </c>
      <c r="C140" s="49">
        <v>647.15300000000002</v>
      </c>
      <c r="D140" s="106">
        <v>10121.99273636</v>
      </c>
      <c r="E140" s="50">
        <f t="shared" si="6"/>
        <v>10377.865496</v>
      </c>
      <c r="F140" s="84"/>
      <c r="G140" s="84"/>
      <c r="H140" s="84"/>
      <c r="I140" s="51">
        <v>171.56592000000001</v>
      </c>
      <c r="J140" s="51">
        <v>84.306839640000021</v>
      </c>
      <c r="K140" s="51">
        <f t="shared" si="7"/>
        <v>255.87275964000003</v>
      </c>
      <c r="M140" s="47"/>
      <c r="N140" s="108">
        <f t="shared" si="8"/>
        <v>10121992736.360001</v>
      </c>
    </row>
    <row r="141" spans="1:14" ht="15.75">
      <c r="A141" s="48">
        <v>42614</v>
      </c>
      <c r="B141" s="65">
        <v>93.863489999999999</v>
      </c>
      <c r="C141" s="49">
        <v>647.36</v>
      </c>
      <c r="D141" s="106">
        <v>10039.723981380001</v>
      </c>
      <c r="E141" s="50">
        <f t="shared" si="6"/>
        <v>10246.78772812</v>
      </c>
      <c r="F141" s="84"/>
      <c r="G141" s="84"/>
      <c r="H141" s="84"/>
      <c r="I141" s="51">
        <v>161.10675000000001</v>
      </c>
      <c r="J141" s="51">
        <v>45.956996740000001</v>
      </c>
      <c r="K141" s="51">
        <f t="shared" si="7"/>
        <v>207.06374674</v>
      </c>
      <c r="M141" s="47"/>
      <c r="N141" s="108">
        <f t="shared" si="8"/>
        <v>10039723981.380001</v>
      </c>
    </row>
    <row r="142" spans="1:14" ht="15.75">
      <c r="A142" s="48">
        <v>42644</v>
      </c>
      <c r="B142" s="65">
        <v>93.227379999999997</v>
      </c>
      <c r="C142" s="49">
        <v>648.21299999999997</v>
      </c>
      <c r="D142" s="106">
        <v>10403.46890844</v>
      </c>
      <c r="E142" s="50">
        <f t="shared" si="6"/>
        <v>10659.790969419999</v>
      </c>
      <c r="F142" s="84"/>
      <c r="G142" s="84"/>
      <c r="H142" s="84"/>
      <c r="I142" s="51">
        <v>223.12723</v>
      </c>
      <c r="J142" s="51">
        <v>33.194830979999999</v>
      </c>
      <c r="K142" s="51">
        <f t="shared" si="7"/>
        <v>256.32206098</v>
      </c>
      <c r="M142" s="47"/>
      <c r="N142" s="108">
        <f t="shared" si="8"/>
        <v>10403468908.440001</v>
      </c>
    </row>
    <row r="143" spans="1:14" ht="15.75">
      <c r="A143" s="48">
        <v>42675</v>
      </c>
      <c r="B143" s="65">
        <v>92.946079999999995</v>
      </c>
      <c r="C143" s="49">
        <v>648.56100000000004</v>
      </c>
      <c r="D143" s="106">
        <v>10852.049291539999</v>
      </c>
      <c r="E143" s="50">
        <f t="shared" si="6"/>
        <v>11085.886912389999</v>
      </c>
      <c r="F143" s="84"/>
      <c r="G143" s="84"/>
      <c r="H143" s="84"/>
      <c r="I143" s="51">
        <v>164.91962000000001</v>
      </c>
      <c r="J143" s="51">
        <v>68.918000849999999</v>
      </c>
      <c r="K143" s="51">
        <f t="shared" si="7"/>
        <v>233.83762085000001</v>
      </c>
      <c r="M143" s="47"/>
      <c r="N143" s="108">
        <f t="shared" si="8"/>
        <v>10852049291.539999</v>
      </c>
    </row>
    <row r="144" spans="1:14" ht="15.75">
      <c r="A144" s="48">
        <v>42705</v>
      </c>
      <c r="B144" s="65">
        <v>93.772300000000001</v>
      </c>
      <c r="C144" s="49">
        <v>653.95100000000002</v>
      </c>
      <c r="D144" s="106">
        <v>10980.03820793</v>
      </c>
      <c r="E144" s="50">
        <f t="shared" si="6"/>
        <v>11255.82919516</v>
      </c>
      <c r="F144" s="84"/>
      <c r="G144" s="84"/>
      <c r="H144" s="84"/>
      <c r="I144" s="51">
        <v>203.87062</v>
      </c>
      <c r="J144" s="51">
        <v>71.920367230000011</v>
      </c>
      <c r="K144" s="51">
        <f t="shared" si="7"/>
        <v>275.79098723000004</v>
      </c>
      <c r="M144" s="47"/>
      <c r="N144" s="108">
        <f t="shared" si="8"/>
        <v>10980038207.93</v>
      </c>
    </row>
    <row r="145" spans="1:14" ht="15.75">
      <c r="A145" s="48">
        <v>42736</v>
      </c>
      <c r="B145" s="65">
        <v>90.570089999999993</v>
      </c>
      <c r="C145" s="49">
        <v>656.77800000000002</v>
      </c>
      <c r="D145" s="106">
        <v>10728.86370274</v>
      </c>
      <c r="E145" s="50">
        <f t="shared" si="6"/>
        <v>11003.84967924</v>
      </c>
      <c r="F145" s="84"/>
      <c r="G145" s="84"/>
      <c r="H145" s="84"/>
      <c r="I145" s="68">
        <v>213.39967000000001</v>
      </c>
      <c r="J145" s="68">
        <v>61.586306499999999</v>
      </c>
      <c r="K145" s="68">
        <f t="shared" si="7"/>
        <v>274.98597649999999</v>
      </c>
      <c r="M145" s="47"/>
      <c r="N145" s="108">
        <f t="shared" si="8"/>
        <v>10728863702.74</v>
      </c>
    </row>
    <row r="146" spans="1:14" ht="15.75">
      <c r="A146" s="48">
        <v>42767</v>
      </c>
      <c r="B146" s="65">
        <v>90.926860000000005</v>
      </c>
      <c r="C146" s="49">
        <v>657.19100000000003</v>
      </c>
      <c r="D146" s="106">
        <v>8853.1409249500011</v>
      </c>
      <c r="E146" s="50">
        <f t="shared" si="6"/>
        <v>9065.0831232100008</v>
      </c>
      <c r="F146" s="84"/>
      <c r="G146" s="84"/>
      <c r="H146" s="84"/>
      <c r="I146" s="68">
        <v>156.58207000000002</v>
      </c>
      <c r="J146" s="68">
        <v>55.360128260000003</v>
      </c>
      <c r="K146" s="68">
        <f t="shared" si="7"/>
        <v>211.94219826000003</v>
      </c>
      <c r="M146" s="47"/>
      <c r="N146" s="108">
        <f t="shared" si="8"/>
        <v>8853140924.9500008</v>
      </c>
    </row>
    <row r="147" spans="1:14" ht="15.75">
      <c r="A147" s="48">
        <v>42795</v>
      </c>
      <c r="B147" s="65">
        <v>99.653859999999995</v>
      </c>
      <c r="C147" s="49">
        <v>654.70899999999995</v>
      </c>
      <c r="D147" s="106">
        <v>10919.673202370001</v>
      </c>
      <c r="E147" s="50">
        <f t="shared" si="6"/>
        <v>11198.712054430001</v>
      </c>
      <c r="F147" s="84"/>
      <c r="G147" s="84"/>
      <c r="H147" s="84"/>
      <c r="I147" s="68">
        <v>162.58544000000001</v>
      </c>
      <c r="J147" s="68">
        <v>116.45341206000002</v>
      </c>
      <c r="K147" s="68">
        <f t="shared" si="7"/>
        <v>279.03885206000001</v>
      </c>
      <c r="M147" s="47"/>
      <c r="N147" s="108">
        <f t="shared" si="8"/>
        <v>10919673202.370001</v>
      </c>
    </row>
    <row r="148" spans="1:14" ht="15.75">
      <c r="A148" s="48">
        <v>42826</v>
      </c>
      <c r="B148" s="65">
        <v>93.782290000000003</v>
      </c>
      <c r="C148" s="49">
        <v>646.57299999999998</v>
      </c>
      <c r="D148" s="106">
        <v>10675.676975840001</v>
      </c>
      <c r="E148" s="50">
        <f t="shared" si="6"/>
        <v>10952.26398983</v>
      </c>
      <c r="F148" s="84"/>
      <c r="G148" s="84"/>
      <c r="H148" s="84"/>
      <c r="I148" s="68">
        <v>217.73308</v>
      </c>
      <c r="J148" s="68">
        <v>58.853933989999994</v>
      </c>
      <c r="K148" s="68">
        <f t="shared" si="7"/>
        <v>276.58701399</v>
      </c>
      <c r="M148" s="47"/>
      <c r="N148" s="108">
        <f t="shared" si="8"/>
        <v>10675676975.84</v>
      </c>
    </row>
    <row r="149" spans="1:14" ht="15.75">
      <c r="A149" s="48">
        <v>42856</v>
      </c>
      <c r="B149" s="65">
        <v>95.215590000000006</v>
      </c>
      <c r="C149" s="49">
        <v>643.26</v>
      </c>
      <c r="D149" s="106">
        <v>10143.032856539998</v>
      </c>
      <c r="E149" s="50">
        <f t="shared" si="6"/>
        <v>10397.213831769997</v>
      </c>
      <c r="F149" s="84"/>
      <c r="G149" s="84"/>
      <c r="H149" s="84"/>
      <c r="I149" s="68">
        <v>170.63867999999999</v>
      </c>
      <c r="J149" s="68">
        <v>83.542295230000107</v>
      </c>
      <c r="K149" s="68">
        <f t="shared" si="7"/>
        <v>254.18097523000012</v>
      </c>
      <c r="M149" s="47"/>
      <c r="N149" s="108">
        <f t="shared" si="8"/>
        <v>10143032856.539997</v>
      </c>
    </row>
    <row r="150" spans="1:14" ht="15.75">
      <c r="A150" s="48">
        <v>42887</v>
      </c>
      <c r="B150" s="65">
        <v>94.588700000000003</v>
      </c>
      <c r="C150" s="49">
        <v>637.07899999999995</v>
      </c>
      <c r="D150" s="106">
        <v>10588.513888330001</v>
      </c>
      <c r="E150" s="50">
        <f t="shared" si="6"/>
        <v>10885.270647310001</v>
      </c>
      <c r="F150" s="84"/>
      <c r="G150" s="84"/>
      <c r="H150" s="84"/>
      <c r="I150" s="68">
        <v>210.72459000000001</v>
      </c>
      <c r="J150" s="68">
        <v>86.032168979999881</v>
      </c>
      <c r="K150" s="68">
        <f t="shared" si="7"/>
        <v>296.75675897999986</v>
      </c>
      <c r="M150" s="47"/>
      <c r="N150" s="108">
        <f t="shared" si="8"/>
        <v>10588513888.33</v>
      </c>
    </row>
    <row r="151" spans="1:14" ht="15.75">
      <c r="A151" s="48">
        <v>42917</v>
      </c>
      <c r="B151" s="65">
        <v>97.014489999999995</v>
      </c>
      <c r="C151" s="49">
        <v>635.19799999999998</v>
      </c>
      <c r="D151" s="106">
        <v>10366.89492235</v>
      </c>
      <c r="E151" s="50">
        <f t="shared" si="6"/>
        <v>10644.85696637</v>
      </c>
      <c r="F151" s="84"/>
      <c r="G151" s="84"/>
      <c r="H151" s="84"/>
      <c r="I151" s="68">
        <v>184.95784</v>
      </c>
      <c r="J151" s="68">
        <v>93.004204020000017</v>
      </c>
      <c r="K151" s="68">
        <f t="shared" si="7"/>
        <v>277.96204402000001</v>
      </c>
      <c r="M151" s="47"/>
      <c r="N151" s="108">
        <f t="shared" si="8"/>
        <v>10366894922.35</v>
      </c>
    </row>
    <row r="152" spans="1:14" ht="15.75">
      <c r="A152" s="48">
        <v>42948</v>
      </c>
      <c r="B152" s="65">
        <v>98.234399999999994</v>
      </c>
      <c r="C152" s="49">
        <v>636.71400000000006</v>
      </c>
      <c r="D152" s="106">
        <v>10684.258307780001</v>
      </c>
      <c r="E152" s="50">
        <f t="shared" si="6"/>
        <v>10929.03796295</v>
      </c>
      <c r="F152" s="84"/>
      <c r="G152" s="84"/>
      <c r="H152" s="84"/>
      <c r="I152" s="68">
        <v>177.63704000000001</v>
      </c>
      <c r="J152" s="68">
        <v>67.142615170000013</v>
      </c>
      <c r="K152" s="68">
        <f t="shared" si="7"/>
        <v>244.77965517000001</v>
      </c>
      <c r="M152" s="47"/>
      <c r="N152" s="108">
        <f t="shared" si="8"/>
        <v>10684258307.780001</v>
      </c>
    </row>
    <row r="153" spans="1:14" ht="15.75">
      <c r="A153" s="48">
        <v>42979</v>
      </c>
      <c r="B153" s="65">
        <v>94.547120000000007</v>
      </c>
      <c r="C153" s="49">
        <v>640.654</v>
      </c>
      <c r="D153" s="106">
        <v>10891.86373232</v>
      </c>
      <c r="E153" s="50">
        <f t="shared" si="6"/>
        <v>11237.611099649999</v>
      </c>
      <c r="F153" s="84"/>
      <c r="G153" s="84"/>
      <c r="H153" s="84"/>
      <c r="I153" s="68">
        <v>206.49247</v>
      </c>
      <c r="J153" s="68">
        <v>139.25489732999998</v>
      </c>
      <c r="K153" s="68">
        <f t="shared" si="7"/>
        <v>345.74736732999997</v>
      </c>
      <c r="M153" s="47"/>
      <c r="N153" s="108">
        <f t="shared" si="8"/>
        <v>10891863732.32</v>
      </c>
    </row>
    <row r="154" spans="1:14" ht="15.75">
      <c r="A154" s="48">
        <v>43009</v>
      </c>
      <c r="B154" s="65">
        <v>95.509349999999998</v>
      </c>
      <c r="C154" s="49">
        <v>641.279</v>
      </c>
      <c r="D154" s="106">
        <v>11017.21345619</v>
      </c>
      <c r="E154" s="50">
        <f t="shared" si="6"/>
        <v>11340.32604201</v>
      </c>
      <c r="F154" s="84"/>
      <c r="G154" s="84"/>
      <c r="H154" s="84"/>
      <c r="I154" s="68">
        <v>184.52723999999998</v>
      </c>
      <c r="J154" s="68">
        <v>138.5853458200001</v>
      </c>
      <c r="K154" s="68">
        <f t="shared" si="7"/>
        <v>323.11258582000005</v>
      </c>
      <c r="M154" s="47"/>
      <c r="N154" s="108">
        <f t="shared" si="8"/>
        <v>11017213456.190001</v>
      </c>
    </row>
    <row r="155" spans="1:14" ht="15.75">
      <c r="A155" s="48">
        <v>43040</v>
      </c>
      <c r="B155" s="65">
        <v>94.892690000000002</v>
      </c>
      <c r="C155" s="49">
        <v>646.42200000000003</v>
      </c>
      <c r="D155" s="106">
        <v>11242.731882830001</v>
      </c>
      <c r="E155" s="50">
        <f t="shared" si="6"/>
        <v>11660.034207780001</v>
      </c>
      <c r="F155" s="84"/>
      <c r="G155" s="84"/>
      <c r="H155" s="84"/>
      <c r="I155" s="68">
        <v>200.08031</v>
      </c>
      <c r="J155" s="68">
        <v>217.22201494999996</v>
      </c>
      <c r="K155" s="68">
        <f t="shared" si="7"/>
        <v>417.30232494999996</v>
      </c>
      <c r="M155" s="47"/>
      <c r="N155" s="108">
        <f t="shared" si="8"/>
        <v>11242731882.830002</v>
      </c>
    </row>
    <row r="156" spans="1:14" ht="15.75">
      <c r="A156" s="48">
        <v>43070</v>
      </c>
      <c r="B156" s="65">
        <v>95.473709999999997</v>
      </c>
      <c r="C156" s="49">
        <v>651.21400000000006</v>
      </c>
      <c r="D156" s="106">
        <v>11449.88780712</v>
      </c>
      <c r="E156" s="50">
        <f t="shared" si="6"/>
        <v>11934.31708931</v>
      </c>
      <c r="F156" s="84"/>
      <c r="G156" s="84"/>
      <c r="H156" s="84"/>
      <c r="I156" s="68">
        <v>257.91604999999998</v>
      </c>
      <c r="J156" s="68">
        <v>226.51323219000048</v>
      </c>
      <c r="K156" s="68">
        <f t="shared" si="7"/>
        <v>484.42928219000044</v>
      </c>
      <c r="M156" s="47"/>
      <c r="N156" s="108">
        <f t="shared" si="8"/>
        <v>11449887807.119999</v>
      </c>
    </row>
    <row r="157" spans="1:14" s="52" customFormat="1">
      <c r="A157" s="48">
        <v>43101</v>
      </c>
      <c r="B157" s="65">
        <v>92.889790000000005</v>
      </c>
      <c r="C157" s="49">
        <v>654.96799999999996</v>
      </c>
      <c r="D157" s="106">
        <v>11718.35559773</v>
      </c>
      <c r="E157" s="50">
        <f>D157+K157</f>
        <v>12073.96069783</v>
      </c>
      <c r="F157" s="50"/>
      <c r="G157" s="50"/>
      <c r="H157" s="50"/>
      <c r="I157" s="51">
        <v>200.26242999999999</v>
      </c>
      <c r="J157" s="51">
        <v>155.34267009999994</v>
      </c>
      <c r="K157" s="51">
        <f>I157+J157</f>
        <v>355.60510009999996</v>
      </c>
      <c r="M157" s="51"/>
      <c r="N157" s="108">
        <f t="shared" si="8"/>
        <v>11718355597.73</v>
      </c>
    </row>
    <row r="158" spans="1:14">
      <c r="A158" s="48">
        <v>43132</v>
      </c>
      <c r="B158" s="65">
        <v>91.166749999999993</v>
      </c>
      <c r="C158" s="49">
        <v>655.97500000000002</v>
      </c>
      <c r="D158" s="106">
        <v>10555.550874050001</v>
      </c>
      <c r="E158" s="50">
        <f t="shared" ref="E158:E221" si="9">D158+K158</f>
        <v>11012.27814765</v>
      </c>
      <c r="I158" s="51">
        <v>329.44715000000002</v>
      </c>
      <c r="J158" s="51">
        <v>127.2801235999999</v>
      </c>
      <c r="K158" s="51">
        <f t="shared" ref="K158:K221" si="10">I158+J158</f>
        <v>456.72727359999993</v>
      </c>
      <c r="L158" s="53"/>
      <c r="M158" s="51"/>
      <c r="N158" s="108">
        <f t="shared" si="8"/>
        <v>10555550874.050001</v>
      </c>
    </row>
    <row r="159" spans="1:14">
      <c r="A159" s="48">
        <v>43160</v>
      </c>
      <c r="B159" s="65">
        <v>99.299009999999996</v>
      </c>
      <c r="C159" s="49">
        <v>659.66499999999996</v>
      </c>
      <c r="D159" s="106">
        <v>10511.071630249999</v>
      </c>
      <c r="E159" s="50">
        <f t="shared" si="9"/>
        <v>10885.164714159999</v>
      </c>
      <c r="I159" s="51">
        <v>184.44649999999999</v>
      </c>
      <c r="J159" s="51">
        <v>189.64658390999989</v>
      </c>
      <c r="K159" s="51">
        <f t="shared" si="10"/>
        <v>374.0930839099999</v>
      </c>
      <c r="L159" s="53"/>
      <c r="M159" s="51"/>
      <c r="N159" s="108">
        <f t="shared" si="8"/>
        <v>10511071630.249998</v>
      </c>
    </row>
    <row r="160" spans="1:14">
      <c r="A160" s="48">
        <v>43191</v>
      </c>
      <c r="B160" s="65">
        <v>97.460750000000004</v>
      </c>
      <c r="C160" s="49">
        <v>665.77</v>
      </c>
      <c r="D160" s="106">
        <v>11475.965434780001</v>
      </c>
      <c r="E160" s="50">
        <f t="shared" si="9"/>
        <v>11880.24806629</v>
      </c>
      <c r="I160" s="51">
        <v>196.92964000000001</v>
      </c>
      <c r="J160" s="51">
        <v>207.35299150999998</v>
      </c>
      <c r="K160" s="51">
        <f t="shared" si="10"/>
        <v>404.28263150999999</v>
      </c>
      <c r="L160" s="53"/>
      <c r="M160" s="51"/>
      <c r="N160" s="108">
        <f t="shared" si="8"/>
        <v>11475965434.780001</v>
      </c>
    </row>
    <row r="161" spans="1:14">
      <c r="A161" s="48">
        <v>43221</v>
      </c>
      <c r="B161" s="65">
        <v>92.766859999999994</v>
      </c>
      <c r="C161" s="49">
        <v>676.69500000000005</v>
      </c>
      <c r="D161" s="106">
        <v>11081.345886610001</v>
      </c>
      <c r="E161" s="50">
        <f t="shared" si="9"/>
        <v>11395.30871861</v>
      </c>
      <c r="I161" s="51">
        <v>154.68454</v>
      </c>
      <c r="J161" s="51">
        <v>159.27829199999999</v>
      </c>
      <c r="K161" s="51">
        <f t="shared" si="10"/>
        <v>313.96283199999999</v>
      </c>
      <c r="L161" s="53"/>
      <c r="M161" s="51"/>
      <c r="N161" s="108">
        <f t="shared" si="8"/>
        <v>11081345886.610001</v>
      </c>
    </row>
    <row r="162" spans="1:14">
      <c r="A162" s="48">
        <v>43252</v>
      </c>
      <c r="B162" s="65">
        <v>96.028999999999996</v>
      </c>
      <c r="C162" s="49">
        <v>686.69600000000003</v>
      </c>
      <c r="D162" s="106">
        <v>10761.98130879</v>
      </c>
      <c r="E162" s="50">
        <f t="shared" si="9"/>
        <v>11215.34948981</v>
      </c>
      <c r="I162" s="51">
        <v>190.86733999999998</v>
      </c>
      <c r="J162" s="51">
        <v>262.50084102000011</v>
      </c>
      <c r="K162" s="51">
        <f t="shared" si="10"/>
        <v>453.36818102000007</v>
      </c>
      <c r="M162" s="51"/>
      <c r="N162" s="108">
        <f t="shared" si="8"/>
        <v>10761981308.790001</v>
      </c>
    </row>
    <row r="163" spans="1:14">
      <c r="A163" s="48">
        <v>43282</v>
      </c>
      <c r="B163" s="65">
        <v>98.911529999999999</v>
      </c>
      <c r="C163" s="49">
        <v>689.74599999999998</v>
      </c>
      <c r="D163" s="106">
        <v>11462.21615109</v>
      </c>
      <c r="E163" s="50">
        <f t="shared" si="9"/>
        <v>12133.34793218</v>
      </c>
      <c r="I163" s="51">
        <v>312.77206000000001</v>
      </c>
      <c r="J163" s="51">
        <v>358.35972108999994</v>
      </c>
      <c r="K163" s="51">
        <f t="shared" si="10"/>
        <v>671.13178109</v>
      </c>
      <c r="M163" s="51"/>
      <c r="N163" s="108">
        <f t="shared" si="8"/>
        <v>11462216151.09</v>
      </c>
    </row>
    <row r="164" spans="1:14">
      <c r="A164" s="48">
        <v>43313</v>
      </c>
      <c r="B164" s="65">
        <v>100.5339</v>
      </c>
      <c r="C164" s="49">
        <v>694.41399999999999</v>
      </c>
      <c r="D164" s="106">
        <v>11574.145377489998</v>
      </c>
      <c r="E164" s="50">
        <f t="shared" si="9"/>
        <v>12005.399406479999</v>
      </c>
      <c r="I164" s="51">
        <v>248.10770000000002</v>
      </c>
      <c r="J164" s="51">
        <v>183.14632898999997</v>
      </c>
      <c r="K164" s="51">
        <f t="shared" si="10"/>
        <v>431.25402898999999</v>
      </c>
      <c r="M164" s="51"/>
      <c r="N164" s="108">
        <f t="shared" si="8"/>
        <v>11574145377.489998</v>
      </c>
    </row>
    <row r="165" spans="1:14">
      <c r="A165" s="48">
        <v>43344</v>
      </c>
      <c r="B165" s="65">
        <v>95.188149999999993</v>
      </c>
      <c r="C165" s="49">
        <v>706.83399999999995</v>
      </c>
      <c r="D165" s="106">
        <v>11570.676831839999</v>
      </c>
      <c r="E165" s="50">
        <f t="shared" si="9"/>
        <v>12049.548818489999</v>
      </c>
      <c r="I165" s="51">
        <v>237.47126999999998</v>
      </c>
      <c r="J165" s="51">
        <v>241.40071664999996</v>
      </c>
      <c r="K165" s="51">
        <f t="shared" si="10"/>
        <v>478.87198664999994</v>
      </c>
      <c r="L165" s="53"/>
      <c r="M165" s="51"/>
      <c r="N165" s="108">
        <f t="shared" si="8"/>
        <v>11570676831.839998</v>
      </c>
    </row>
    <row r="166" spans="1:14">
      <c r="A166" s="48">
        <v>43374</v>
      </c>
      <c r="B166" s="65">
        <v>98.198650000000001</v>
      </c>
      <c r="C166" s="49">
        <v>708.69399999999996</v>
      </c>
      <c r="D166" s="106">
        <v>11762.024640149999</v>
      </c>
      <c r="E166" s="50">
        <f t="shared" si="9"/>
        <v>12271.713402719999</v>
      </c>
      <c r="I166" s="51">
        <v>245.16670999999999</v>
      </c>
      <c r="J166" s="51">
        <v>264.52205256999986</v>
      </c>
      <c r="K166" s="51">
        <f t="shared" si="10"/>
        <v>509.68876256999988</v>
      </c>
      <c r="M166" s="51"/>
      <c r="N166" s="108">
        <f t="shared" si="8"/>
        <v>11762024640.15</v>
      </c>
    </row>
    <row r="167" spans="1:14">
      <c r="A167" s="48">
        <v>43405</v>
      </c>
      <c r="B167" s="65">
        <v>96.707310000000007</v>
      </c>
      <c r="C167" s="49">
        <v>700.601</v>
      </c>
      <c r="D167" s="106">
        <v>11501.35647225</v>
      </c>
      <c r="E167" s="50">
        <f t="shared" si="9"/>
        <v>11956.71999326</v>
      </c>
      <c r="I167" s="51">
        <v>234.88742999999999</v>
      </c>
      <c r="J167" s="51">
        <v>220.47609101000003</v>
      </c>
      <c r="K167" s="51">
        <f t="shared" si="10"/>
        <v>455.36352101</v>
      </c>
      <c r="M167" s="51"/>
      <c r="N167" s="108">
        <f t="shared" si="8"/>
        <v>11501356472.25</v>
      </c>
    </row>
    <row r="168" spans="1:14">
      <c r="A168" s="48">
        <v>43435</v>
      </c>
      <c r="B168" s="65">
        <v>95.817250000000001</v>
      </c>
      <c r="C168" s="49">
        <v>697.44600000000003</v>
      </c>
      <c r="D168" s="106">
        <v>11967.867023030001</v>
      </c>
      <c r="E168" s="50">
        <f t="shared" si="9"/>
        <v>12588.162089580001</v>
      </c>
      <c r="I168" s="51">
        <v>306.10321999999996</v>
      </c>
      <c r="J168" s="51">
        <v>314.19184655000009</v>
      </c>
      <c r="K168" s="51">
        <f t="shared" si="10"/>
        <v>620.29506655</v>
      </c>
      <c r="M168" s="51">
        <f>SUM(K157:K168)</f>
        <v>5524.6442489999999</v>
      </c>
      <c r="N168" s="108">
        <f t="shared" si="8"/>
        <v>11967867023.030001</v>
      </c>
    </row>
    <row r="169" spans="1:14">
      <c r="A169" s="48">
        <v>43466</v>
      </c>
      <c r="B169" s="65">
        <v>93.830119999999994</v>
      </c>
      <c r="C169" s="49">
        <v>697.923</v>
      </c>
      <c r="D169" s="106">
        <v>12366.84895736</v>
      </c>
      <c r="E169" s="50">
        <f t="shared" si="9"/>
        <v>12945.886414639999</v>
      </c>
      <c r="I169" s="68">
        <v>388.17090000000002</v>
      </c>
      <c r="J169" s="68">
        <v>190.86655727999999</v>
      </c>
      <c r="K169" s="68">
        <f t="shared" si="10"/>
        <v>579.03745728000001</v>
      </c>
      <c r="M169" s="51"/>
      <c r="N169" s="108">
        <f t="shared" si="8"/>
        <v>12366848957.360001</v>
      </c>
    </row>
    <row r="170" spans="1:14">
      <c r="A170" s="48">
        <v>43497</v>
      </c>
      <c r="B170" s="65">
        <v>93.995159999999998</v>
      </c>
      <c r="C170" s="49">
        <v>706.66</v>
      </c>
      <c r="D170" s="106">
        <v>11265.97923952</v>
      </c>
      <c r="E170" s="50">
        <f t="shared" si="9"/>
        <v>11596.344903310001</v>
      </c>
      <c r="I170" s="68">
        <v>184.36927</v>
      </c>
      <c r="J170" s="68">
        <v>145.9963937899999</v>
      </c>
      <c r="K170" s="68">
        <f t="shared" si="10"/>
        <v>330.36566378999987</v>
      </c>
      <c r="M170" s="51"/>
      <c r="N170" s="108">
        <f t="shared" si="8"/>
        <v>11265979239.52</v>
      </c>
    </row>
    <row r="171" spans="1:14">
      <c r="A171" s="48">
        <v>43525</v>
      </c>
      <c r="B171" s="65">
        <v>97.468350000000001</v>
      </c>
      <c r="C171" s="49">
        <v>714.24300000000005</v>
      </c>
      <c r="D171" s="106">
        <v>11309.998289140001</v>
      </c>
      <c r="E171" s="50">
        <f t="shared" si="9"/>
        <v>11686.182785010002</v>
      </c>
      <c r="I171" s="68">
        <v>261.47113999999999</v>
      </c>
      <c r="J171" s="68">
        <v>114.7133558700001</v>
      </c>
      <c r="K171" s="68">
        <f t="shared" si="10"/>
        <v>376.18449587000009</v>
      </c>
      <c r="M171" s="51"/>
      <c r="N171" s="108">
        <f t="shared" si="8"/>
        <v>11309998289.140001</v>
      </c>
    </row>
    <row r="172" spans="1:14">
      <c r="A172" s="48">
        <v>43556</v>
      </c>
      <c r="B172" s="65">
        <v>97.859110000000001</v>
      </c>
      <c r="C172" s="49">
        <v>720.69500000000005</v>
      </c>
      <c r="D172" s="106">
        <v>12016.95819107</v>
      </c>
      <c r="E172" s="50">
        <f t="shared" si="9"/>
        <v>12498.89702099</v>
      </c>
      <c r="I172" s="68">
        <v>250.19996</v>
      </c>
      <c r="J172" s="68">
        <v>231.73886992000001</v>
      </c>
      <c r="K172" s="68">
        <f t="shared" si="10"/>
        <v>481.93882991999999</v>
      </c>
      <c r="M172" s="51"/>
      <c r="N172" s="108">
        <f t="shared" si="8"/>
        <v>12016958191.07</v>
      </c>
    </row>
    <row r="173" spans="1:14">
      <c r="A173" s="48">
        <v>43586</v>
      </c>
      <c r="B173" s="65">
        <v>97.748130000000003</v>
      </c>
      <c r="C173" s="49">
        <v>723.577</v>
      </c>
      <c r="D173" s="106">
        <v>11733.622424540001</v>
      </c>
      <c r="E173" s="50">
        <f t="shared" si="9"/>
        <v>12063.732479210001</v>
      </c>
      <c r="I173" s="68">
        <v>211.52017000000001</v>
      </c>
      <c r="J173" s="68">
        <v>118.5898846700002</v>
      </c>
      <c r="K173" s="68">
        <f t="shared" si="10"/>
        <v>330.11005467000018</v>
      </c>
      <c r="M173" s="51"/>
      <c r="N173" s="108">
        <f t="shared" si="8"/>
        <v>11733622424.540001</v>
      </c>
    </row>
    <row r="174" spans="1:14">
      <c r="A174" s="48">
        <v>43617</v>
      </c>
      <c r="B174" s="65">
        <v>94.723920000000007</v>
      </c>
      <c r="C174" s="49">
        <v>728.14200000000005</v>
      </c>
      <c r="D174" s="106">
        <v>11387.44331814</v>
      </c>
      <c r="E174" s="50">
        <f t="shared" si="9"/>
        <v>11731.14039988</v>
      </c>
      <c r="I174" s="68">
        <v>173.15826999999999</v>
      </c>
      <c r="J174" s="68">
        <v>170.53881173999997</v>
      </c>
      <c r="K174" s="68">
        <f t="shared" si="10"/>
        <v>343.69708173999993</v>
      </c>
      <c r="M174" s="51"/>
      <c r="N174" s="108">
        <f t="shared" si="8"/>
        <v>11387443318.139999</v>
      </c>
    </row>
    <row r="175" spans="1:14">
      <c r="A175" s="48">
        <v>43647</v>
      </c>
      <c r="B175" s="65">
        <v>100.35459</v>
      </c>
      <c r="C175" s="49">
        <v>728.08399999999995</v>
      </c>
      <c r="D175" s="106">
        <v>11770.991485819999</v>
      </c>
      <c r="E175" s="50">
        <f t="shared" si="9"/>
        <v>12128.222237249998</v>
      </c>
      <c r="I175" s="68">
        <v>170.44265999999999</v>
      </c>
      <c r="J175" s="68">
        <v>186.78809143000001</v>
      </c>
      <c r="K175" s="68">
        <f t="shared" si="10"/>
        <v>357.23075143</v>
      </c>
      <c r="M175" s="51"/>
      <c r="N175" s="108">
        <f t="shared" si="8"/>
        <v>11770991485.82</v>
      </c>
    </row>
    <row r="176" spans="1:14">
      <c r="A176" s="48">
        <v>43678</v>
      </c>
      <c r="B176" s="65">
        <v>99.652649999999994</v>
      </c>
      <c r="C176" s="49">
        <v>724.39499999999998</v>
      </c>
      <c r="D176" s="106">
        <v>11784.031575089999</v>
      </c>
      <c r="E176" s="50">
        <f t="shared" si="9"/>
        <v>12213.872271229999</v>
      </c>
      <c r="I176" s="68">
        <v>268.55221</v>
      </c>
      <c r="J176" s="68">
        <v>161.28848614000012</v>
      </c>
      <c r="K176" s="68">
        <f t="shared" si="10"/>
        <v>429.84069614000009</v>
      </c>
      <c r="M176" s="51"/>
      <c r="N176" s="108">
        <f t="shared" si="8"/>
        <v>11784031575.089998</v>
      </c>
    </row>
    <row r="177" spans="1:15">
      <c r="A177" s="48">
        <v>43709</v>
      </c>
      <c r="B177" s="65">
        <v>96.897530000000003</v>
      </c>
      <c r="C177" s="49">
        <v>728.04</v>
      </c>
      <c r="D177" s="106">
        <v>12147.38537231</v>
      </c>
      <c r="E177" s="50">
        <f t="shared" si="9"/>
        <v>12419.14200315</v>
      </c>
      <c r="I177" s="68">
        <v>176.14924999999999</v>
      </c>
      <c r="J177" s="68">
        <v>95.607380839999976</v>
      </c>
      <c r="K177" s="68">
        <f t="shared" si="10"/>
        <v>271.75663083999996</v>
      </c>
      <c r="M177" s="51"/>
      <c r="N177" s="108">
        <f t="shared" si="8"/>
        <v>12147385372.309999</v>
      </c>
    </row>
    <row r="178" spans="1:15">
      <c r="A178" s="48">
        <v>43739</v>
      </c>
      <c r="B178" s="65">
        <v>100.32093999999999</v>
      </c>
      <c r="C178" s="49">
        <v>732.04100000000005</v>
      </c>
      <c r="D178" s="106">
        <v>12517.17655482</v>
      </c>
      <c r="E178" s="50">
        <f t="shared" si="9"/>
        <v>12935.14325005</v>
      </c>
      <c r="I178" s="68">
        <v>166.36942000000002</v>
      </c>
      <c r="J178" s="68">
        <v>251.59727523000006</v>
      </c>
      <c r="K178" s="68">
        <f t="shared" si="10"/>
        <v>417.96669523000008</v>
      </c>
      <c r="M178" s="51"/>
      <c r="N178" s="108">
        <f t="shared" si="8"/>
        <v>12517176554.82</v>
      </c>
    </row>
    <row r="179" spans="1:15">
      <c r="A179" s="48">
        <v>43770</v>
      </c>
      <c r="B179" s="65">
        <v>97.495099999999994</v>
      </c>
      <c r="C179" s="49">
        <v>738.26400000000001</v>
      </c>
      <c r="D179" s="106">
        <v>12574.52819531</v>
      </c>
      <c r="E179" s="50">
        <f t="shared" si="9"/>
        <v>12950.85692823</v>
      </c>
      <c r="I179" s="68">
        <v>162.48518999999999</v>
      </c>
      <c r="J179" s="68">
        <v>213.84354291999969</v>
      </c>
      <c r="K179" s="68">
        <f t="shared" si="10"/>
        <v>376.32873291999965</v>
      </c>
      <c r="M179" s="51"/>
      <c r="N179" s="108">
        <f t="shared" si="8"/>
        <v>12574528195.309999</v>
      </c>
    </row>
    <row r="180" spans="1:15">
      <c r="A180" s="48">
        <v>43800</v>
      </c>
      <c r="B180" s="65">
        <v>96.57002</v>
      </c>
      <c r="C180" s="49">
        <v>751.12099999999998</v>
      </c>
      <c r="D180" s="106">
        <v>13146.25650587</v>
      </c>
      <c r="E180" s="50">
        <f t="shared" si="9"/>
        <v>13738.25225541</v>
      </c>
      <c r="I180" s="68">
        <v>207.68199999999999</v>
      </c>
      <c r="J180" s="68">
        <v>384.31374953999989</v>
      </c>
      <c r="K180" s="68">
        <f t="shared" si="10"/>
        <v>591.99574953999991</v>
      </c>
      <c r="M180" s="51">
        <f>SUM(K169:K180)</f>
        <v>4886.4528393699984</v>
      </c>
      <c r="N180" s="108">
        <f t="shared" si="8"/>
        <v>13146256505.870001</v>
      </c>
    </row>
    <row r="181" spans="1:15">
      <c r="A181" s="48">
        <v>43831</v>
      </c>
      <c r="B181" s="65">
        <v>94.022289999999998</v>
      </c>
      <c r="C181" s="49">
        <v>751.82</v>
      </c>
      <c r="D181" s="106">
        <v>12929.806414519999</v>
      </c>
      <c r="E181" s="50">
        <f t="shared" si="9"/>
        <v>13382.7364143</v>
      </c>
      <c r="I181" s="51">
        <v>205.33979000000002</v>
      </c>
      <c r="J181" s="51">
        <v>247.59020978000012</v>
      </c>
      <c r="K181" s="51">
        <f t="shared" si="10"/>
        <v>452.92999978000012</v>
      </c>
      <c r="M181" s="51"/>
      <c r="N181" s="108">
        <f t="shared" si="8"/>
        <v>12929806414.519999</v>
      </c>
      <c r="O181" s="102"/>
    </row>
    <row r="182" spans="1:15">
      <c r="A182" s="48">
        <v>43862</v>
      </c>
      <c r="B182" s="65">
        <v>94.324960000000004</v>
      </c>
      <c r="C182" s="49">
        <v>751.91</v>
      </c>
      <c r="D182" s="106">
        <v>11776.855482290001</v>
      </c>
      <c r="E182" s="50">
        <f t="shared" si="9"/>
        <v>12215.32667647</v>
      </c>
      <c r="I182" s="51">
        <v>181.23804000000001</v>
      </c>
      <c r="J182" s="51">
        <v>257.23315417999999</v>
      </c>
      <c r="K182" s="51">
        <f t="shared" si="10"/>
        <v>438.47119418</v>
      </c>
      <c r="M182" s="51"/>
      <c r="N182" s="108">
        <f t="shared" si="8"/>
        <v>11776855482.290001</v>
      </c>
      <c r="O182" s="102"/>
    </row>
    <row r="183" spans="1:15">
      <c r="A183" s="48">
        <v>43891</v>
      </c>
      <c r="B183" s="65">
        <v>95.597499999999997</v>
      </c>
      <c r="C183" s="49">
        <v>764.27599999999995</v>
      </c>
      <c r="D183" s="106">
        <v>12085.931795229999</v>
      </c>
      <c r="E183" s="50">
        <f t="shared" si="9"/>
        <v>12359.884875259999</v>
      </c>
      <c r="I183" s="51">
        <v>132.5651</v>
      </c>
      <c r="J183" s="51">
        <v>141.38798003000008</v>
      </c>
      <c r="K183" s="51">
        <f t="shared" si="10"/>
        <v>273.95308003000008</v>
      </c>
      <c r="M183" s="51"/>
      <c r="N183" s="108">
        <f t="shared" si="8"/>
        <v>12085931795.23</v>
      </c>
      <c r="O183" s="102"/>
    </row>
    <row r="184" spans="1:15">
      <c r="A184" s="48">
        <v>43922</v>
      </c>
      <c r="B184" s="65">
        <v>83.779989999999998</v>
      </c>
      <c r="C184" s="49">
        <v>764.65599999999995</v>
      </c>
      <c r="D184" s="106">
        <v>10455.595055239997</v>
      </c>
      <c r="E184" s="50">
        <f t="shared" si="9"/>
        <v>10757.087401099998</v>
      </c>
      <c r="I184" s="51">
        <v>127.96553999999999</v>
      </c>
      <c r="J184" s="51">
        <v>173.52680586000011</v>
      </c>
      <c r="K184" s="51">
        <f t="shared" si="10"/>
        <v>301.49234586000011</v>
      </c>
      <c r="M184" s="51"/>
      <c r="N184" s="108">
        <f t="shared" si="8"/>
        <v>10455595055.239998</v>
      </c>
      <c r="O184" s="102"/>
    </row>
    <row r="185" spans="1:15">
      <c r="A185" s="48">
        <v>43952</v>
      </c>
      <c r="B185" s="65">
        <v>84.484579999999994</v>
      </c>
      <c r="C185" s="49">
        <v>772.84299999999996</v>
      </c>
      <c r="D185" s="106">
        <v>9023.5287725699982</v>
      </c>
      <c r="E185" s="50">
        <f t="shared" si="9"/>
        <v>9277.2182502999985</v>
      </c>
      <c r="I185" s="51">
        <v>136.74332000000001</v>
      </c>
      <c r="J185" s="51">
        <v>116.94615773000011</v>
      </c>
      <c r="K185" s="51">
        <f t="shared" si="10"/>
        <v>253.68947773000014</v>
      </c>
      <c r="M185" s="51"/>
      <c r="N185" s="108">
        <f t="shared" si="8"/>
        <v>9023528772.5699978</v>
      </c>
      <c r="O185" s="102"/>
    </row>
    <row r="186" spans="1:15">
      <c r="A186" s="48">
        <v>43983</v>
      </c>
      <c r="B186" s="65">
        <v>89.056110000000004</v>
      </c>
      <c r="C186" s="49">
        <v>785.221</v>
      </c>
      <c r="D186" s="106">
        <v>9983.5436509899992</v>
      </c>
      <c r="E186" s="50">
        <f t="shared" si="9"/>
        <v>10330.945857219998</v>
      </c>
      <c r="I186" s="51">
        <v>196.97807</v>
      </c>
      <c r="J186" s="51">
        <v>150.42413623000007</v>
      </c>
      <c r="K186" s="51">
        <f t="shared" si="10"/>
        <v>347.40220623000005</v>
      </c>
      <c r="M186" s="51"/>
      <c r="N186" s="108">
        <f t="shared" si="8"/>
        <v>9983543650.9899998</v>
      </c>
      <c r="O186" s="102"/>
    </row>
    <row r="187" spans="1:15">
      <c r="A187" s="48">
        <v>44013</v>
      </c>
      <c r="B187" s="65">
        <v>95.693529999999996</v>
      </c>
      <c r="C187" s="49">
        <v>803.58399999999995</v>
      </c>
      <c r="D187" s="106">
        <v>11348.726905970001</v>
      </c>
      <c r="E187" s="50">
        <f t="shared" si="9"/>
        <v>11759.711487110002</v>
      </c>
      <c r="I187" s="51">
        <v>237.37549999999999</v>
      </c>
      <c r="J187" s="51">
        <v>173.60908114000011</v>
      </c>
      <c r="K187" s="51">
        <f t="shared" si="10"/>
        <v>410.9845811400001</v>
      </c>
      <c r="M187" s="51"/>
      <c r="N187" s="108">
        <f t="shared" si="8"/>
        <v>11348726905.970001</v>
      </c>
      <c r="O187" s="102"/>
    </row>
    <row r="188" spans="1:15">
      <c r="A188" s="48">
        <v>44044</v>
      </c>
      <c r="B188" s="65">
        <v>95.214600000000004</v>
      </c>
      <c r="C188" s="49">
        <v>834.71299999999997</v>
      </c>
      <c r="D188" s="106">
        <v>12277.30778112</v>
      </c>
      <c r="E188" s="50">
        <f t="shared" si="9"/>
        <v>12786.84466438</v>
      </c>
      <c r="I188" s="51">
        <v>321.85937999999999</v>
      </c>
      <c r="J188" s="51">
        <v>187.67750326000012</v>
      </c>
      <c r="K188" s="51">
        <f t="shared" si="10"/>
        <v>509.53688326000008</v>
      </c>
      <c r="M188" s="51"/>
      <c r="N188" s="108">
        <f t="shared" si="8"/>
        <v>12277307781.120001</v>
      </c>
      <c r="O188" s="102"/>
    </row>
    <row r="189" spans="1:15">
      <c r="A189" s="48">
        <v>44075</v>
      </c>
      <c r="B189" s="65">
        <v>96.069730000000007</v>
      </c>
      <c r="C189" s="49">
        <v>862.25900000000001</v>
      </c>
      <c r="D189" s="106">
        <v>13098.349990470002</v>
      </c>
      <c r="E189" s="50">
        <f t="shared" si="9"/>
        <v>13619.658134320001</v>
      </c>
      <c r="I189" s="51">
        <v>388.79894000000002</v>
      </c>
      <c r="J189" s="51">
        <v>132.50920385000001</v>
      </c>
      <c r="K189" s="51">
        <f t="shared" si="10"/>
        <v>521.30814385000008</v>
      </c>
      <c r="M189" s="51"/>
      <c r="N189" s="108">
        <f t="shared" si="8"/>
        <v>13098349990.470001</v>
      </c>
      <c r="O189" s="102"/>
    </row>
    <row r="190" spans="1:15">
      <c r="A190" s="48">
        <v>44105</v>
      </c>
      <c r="B190" s="65">
        <v>98.011399999999995</v>
      </c>
      <c r="C190" s="49">
        <v>893.99699999999996</v>
      </c>
      <c r="D190" s="106">
        <v>13877.865858910001</v>
      </c>
      <c r="E190" s="50">
        <f t="shared" si="9"/>
        <v>14299.665275730002</v>
      </c>
      <c r="I190" s="51">
        <v>275.19155999999998</v>
      </c>
      <c r="J190" s="51">
        <v>146.60785681999991</v>
      </c>
      <c r="K190" s="51">
        <f t="shared" si="10"/>
        <v>421.79941681999992</v>
      </c>
      <c r="M190" s="51"/>
      <c r="N190" s="108">
        <f t="shared" si="8"/>
        <v>13877865858.910002</v>
      </c>
      <c r="O190" s="102"/>
    </row>
    <row r="191" spans="1:15">
      <c r="A191" s="48">
        <v>44136</v>
      </c>
      <c r="B191" s="65">
        <v>96.684449999999998</v>
      </c>
      <c r="C191" s="49">
        <v>917.53800000000001</v>
      </c>
      <c r="D191" s="106">
        <v>14745.896345780002</v>
      </c>
      <c r="E191" s="50">
        <f t="shared" si="9"/>
        <v>15159.974787620002</v>
      </c>
      <c r="I191" s="51">
        <v>266.00396999999998</v>
      </c>
      <c r="J191" s="51">
        <v>148.07447184000009</v>
      </c>
      <c r="K191" s="51">
        <f t="shared" si="10"/>
        <v>414.0784418400001</v>
      </c>
      <c r="M191" s="51"/>
      <c r="N191" s="108">
        <f t="shared" si="8"/>
        <v>14745896345.780003</v>
      </c>
      <c r="O191" s="102"/>
    </row>
    <row r="192" spans="1:15">
      <c r="A192" s="48">
        <v>44166</v>
      </c>
      <c r="B192" s="65">
        <v>97.506860000000003</v>
      </c>
      <c r="C192" s="49">
        <v>924.50400000000002</v>
      </c>
      <c r="D192" s="106">
        <v>14906.40185484</v>
      </c>
      <c r="E192" s="50">
        <f t="shared" si="9"/>
        <v>15439.836084210001</v>
      </c>
      <c r="I192" s="51">
        <v>350.07302000000004</v>
      </c>
      <c r="J192" s="51">
        <v>183.36120937000018</v>
      </c>
      <c r="K192" s="51">
        <f t="shared" si="10"/>
        <v>533.43422937000025</v>
      </c>
      <c r="M192" s="51">
        <f>SUM(K181:K192)</f>
        <v>4879.0800000900008</v>
      </c>
      <c r="N192" s="108">
        <f t="shared" si="8"/>
        <v>14906401854.84</v>
      </c>
      <c r="O192" s="102"/>
    </row>
    <row r="193" spans="1:17">
      <c r="A193" s="48">
        <v>44197</v>
      </c>
      <c r="B193" s="65">
        <v>92.107879999999994</v>
      </c>
      <c r="C193" s="49">
        <v>951.39499999999998</v>
      </c>
      <c r="D193" s="106">
        <v>14133.47397275</v>
      </c>
      <c r="E193" s="50">
        <f t="shared" si="9"/>
        <v>14583.11755667</v>
      </c>
      <c r="I193" s="68">
        <v>295.59935999999999</v>
      </c>
      <c r="J193" s="68">
        <v>154.04422391999981</v>
      </c>
      <c r="K193" s="68">
        <f t="shared" si="10"/>
        <v>449.6435839199998</v>
      </c>
      <c r="M193" s="51"/>
      <c r="N193" s="108">
        <f t="shared" si="8"/>
        <v>14133473972.75</v>
      </c>
      <c r="O193" s="102"/>
    </row>
    <row r="194" spans="1:17">
      <c r="A194" s="48">
        <v>44228</v>
      </c>
      <c r="B194" s="65">
        <v>94.077309999999997</v>
      </c>
      <c r="C194" s="49">
        <v>977.13300000000004</v>
      </c>
      <c r="D194" s="106">
        <v>13701.530194440002</v>
      </c>
      <c r="E194" s="50">
        <f t="shared" si="9"/>
        <v>14119.980714880001</v>
      </c>
      <c r="I194" s="68">
        <v>312.92437000000001</v>
      </c>
      <c r="J194" s="68">
        <v>105.52615044</v>
      </c>
      <c r="K194" s="68">
        <f t="shared" si="10"/>
        <v>418.45052043999999</v>
      </c>
      <c r="M194" s="51"/>
      <c r="N194" s="108">
        <f t="shared" si="8"/>
        <v>13701530194.440002</v>
      </c>
      <c r="O194" s="102"/>
    </row>
    <row r="195" spans="1:17">
      <c r="A195" s="48">
        <v>44256</v>
      </c>
      <c r="B195" s="65">
        <v>101.24656</v>
      </c>
      <c r="C195" s="49">
        <v>998.34400000000005</v>
      </c>
      <c r="D195" s="106">
        <v>14843.08432124</v>
      </c>
      <c r="E195" s="50">
        <f t="shared" si="9"/>
        <v>15364.161599069999</v>
      </c>
      <c r="I195" s="68">
        <v>411.25308000000001</v>
      </c>
      <c r="J195" s="68">
        <v>109.82419783</v>
      </c>
      <c r="K195" s="68">
        <f t="shared" si="10"/>
        <v>521.07727782999996</v>
      </c>
      <c r="M195" s="51"/>
      <c r="N195" s="108">
        <f t="shared" ref="N195:N250" si="11">D195*1000000</f>
        <v>14843084321.24</v>
      </c>
      <c r="O195" s="102"/>
    </row>
    <row r="196" spans="1:17">
      <c r="A196" s="48">
        <v>44287</v>
      </c>
      <c r="B196" s="65">
        <v>97.303250000000006</v>
      </c>
      <c r="C196" s="49">
        <v>1020.495</v>
      </c>
      <c r="D196" s="106">
        <v>13667.803234530002</v>
      </c>
      <c r="E196" s="50">
        <f t="shared" si="9"/>
        <v>14084.016133030002</v>
      </c>
      <c r="I196" s="68">
        <v>308.14676000000003</v>
      </c>
      <c r="J196" s="68">
        <v>108.06613850000021</v>
      </c>
      <c r="K196" s="68">
        <f t="shared" si="10"/>
        <v>416.21289850000022</v>
      </c>
      <c r="M196" s="51"/>
      <c r="N196" s="108">
        <f t="shared" si="11"/>
        <v>13667803234.530003</v>
      </c>
      <c r="O196" s="102"/>
    </row>
    <row r="197" spans="1:17">
      <c r="A197" s="48">
        <v>44317</v>
      </c>
      <c r="B197" s="65">
        <v>96.193179999999998</v>
      </c>
      <c r="C197" s="49">
        <v>1055.1669999999999</v>
      </c>
      <c r="D197" s="106">
        <v>14146.22590401</v>
      </c>
      <c r="E197" s="50">
        <f t="shared" si="9"/>
        <v>14618.599069829999</v>
      </c>
      <c r="I197" s="68">
        <v>378.58109999999999</v>
      </c>
      <c r="J197" s="68">
        <v>93.792065819999991</v>
      </c>
      <c r="K197" s="68">
        <f t="shared" si="10"/>
        <v>472.37316582</v>
      </c>
      <c r="M197" s="51"/>
      <c r="N197" s="108">
        <f t="shared" si="11"/>
        <v>14146225904.01</v>
      </c>
      <c r="O197" s="102"/>
    </row>
    <row r="198" spans="1:17">
      <c r="A198" s="48">
        <v>44348</v>
      </c>
      <c r="B198" s="65">
        <v>96.459630000000004</v>
      </c>
      <c r="C198" s="49">
        <v>1056.3430000000001</v>
      </c>
      <c r="D198" s="106">
        <v>14652.653103660001</v>
      </c>
      <c r="E198" s="50">
        <f t="shared" si="9"/>
        <v>15117.037630430001</v>
      </c>
      <c r="I198" s="68">
        <v>371.54633000000001</v>
      </c>
      <c r="J198" s="68">
        <v>92.838196769999897</v>
      </c>
      <c r="K198" s="68">
        <f t="shared" si="10"/>
        <v>464.38452676999992</v>
      </c>
      <c r="M198" s="51"/>
      <c r="N198" s="108">
        <f t="shared" si="11"/>
        <v>14652653103.660002</v>
      </c>
      <c r="O198" s="102"/>
    </row>
    <row r="199" spans="1:17">
      <c r="A199" s="48">
        <v>44378</v>
      </c>
      <c r="B199" s="65">
        <v>99.912509999999997</v>
      </c>
      <c r="C199" s="49">
        <v>1071.615</v>
      </c>
      <c r="D199" s="106">
        <v>15708.37901907</v>
      </c>
      <c r="E199" s="50">
        <f t="shared" si="9"/>
        <v>16330.812050320001</v>
      </c>
      <c r="I199" s="68">
        <v>508.73228999999998</v>
      </c>
      <c r="J199" s="68">
        <v>113.70074124999996</v>
      </c>
      <c r="K199" s="68">
        <f t="shared" si="10"/>
        <v>622.43303124999989</v>
      </c>
      <c r="M199" s="51"/>
      <c r="N199" s="108">
        <f t="shared" si="11"/>
        <v>15708379019.07</v>
      </c>
      <c r="O199" s="102"/>
    </row>
    <row r="200" spans="1:17">
      <c r="A200" s="48">
        <v>44409</v>
      </c>
      <c r="B200" s="65">
        <v>99.302419999999998</v>
      </c>
      <c r="C200" s="49">
        <v>1070.1469999999999</v>
      </c>
      <c r="D200" s="106">
        <v>15975.322472460002</v>
      </c>
      <c r="E200" s="50">
        <f t="shared" si="9"/>
        <v>16757.700257300003</v>
      </c>
      <c r="I200" s="68">
        <v>610.53157999999996</v>
      </c>
      <c r="J200" s="68">
        <v>171.84620483999993</v>
      </c>
      <c r="K200" s="68">
        <f t="shared" si="10"/>
        <v>782.37778483999989</v>
      </c>
      <c r="M200" s="51"/>
      <c r="N200" s="108">
        <f t="shared" si="11"/>
        <v>15975322472.460003</v>
      </c>
      <c r="O200" s="102"/>
    </row>
    <row r="201" spans="1:17">
      <c r="A201" s="48">
        <v>44440</v>
      </c>
      <c r="B201" s="65">
        <v>97.129249999999999</v>
      </c>
      <c r="C201" s="49">
        <v>1064.31</v>
      </c>
      <c r="D201" s="106">
        <v>16224.603498879998</v>
      </c>
      <c r="E201" s="50">
        <f t="shared" si="9"/>
        <v>16844.978653979997</v>
      </c>
      <c r="I201" s="68">
        <v>400.43763000000001</v>
      </c>
      <c r="J201" s="68">
        <v>219.9375251000001</v>
      </c>
      <c r="K201" s="68">
        <f t="shared" si="10"/>
        <v>620.37515510000014</v>
      </c>
      <c r="M201" s="51"/>
      <c r="N201" s="108">
        <f t="shared" si="11"/>
        <v>16224603498.879999</v>
      </c>
      <c r="O201" s="102"/>
    </row>
    <row r="202" spans="1:17">
      <c r="A202" s="48">
        <v>44470</v>
      </c>
      <c r="B202" s="65">
        <v>96.503529999999998</v>
      </c>
      <c r="C202" s="49">
        <v>1081.3009999999999</v>
      </c>
      <c r="D202" s="106">
        <v>16640.679330809999</v>
      </c>
      <c r="E202" s="50">
        <f t="shared" si="9"/>
        <v>17123.676028799997</v>
      </c>
      <c r="I202" s="68">
        <v>379.71296999999998</v>
      </c>
      <c r="J202" s="68">
        <v>103.28372799</v>
      </c>
      <c r="K202" s="68">
        <f t="shared" si="10"/>
        <v>482.99669798999997</v>
      </c>
      <c r="M202" s="51"/>
      <c r="N202" s="108">
        <f t="shared" si="11"/>
        <v>16640679330.809999</v>
      </c>
      <c r="O202" s="102"/>
    </row>
    <row r="203" spans="1:17">
      <c r="A203" s="48">
        <v>44501</v>
      </c>
      <c r="B203" s="65">
        <v>97.79616</v>
      </c>
      <c r="C203" s="49">
        <v>1075.0219999999999</v>
      </c>
      <c r="D203" s="106">
        <v>17376.032210409994</v>
      </c>
      <c r="E203" s="50">
        <f t="shared" si="9"/>
        <v>17832.727706559996</v>
      </c>
      <c r="I203" s="68">
        <v>360.25493</v>
      </c>
      <c r="J203" s="68">
        <v>96.440566149999995</v>
      </c>
      <c r="K203" s="68">
        <f t="shared" si="10"/>
        <v>456.69549615</v>
      </c>
      <c r="M203" s="51"/>
      <c r="N203" s="108">
        <f t="shared" si="11"/>
        <v>17376032210.409996</v>
      </c>
      <c r="O203" s="102"/>
    </row>
    <row r="204" spans="1:17">
      <c r="A204" s="48">
        <v>44531</v>
      </c>
      <c r="B204" s="65">
        <v>99.188980000000001</v>
      </c>
      <c r="C204" s="49">
        <v>1088.489</v>
      </c>
      <c r="D204" s="106">
        <v>18537.720178939999</v>
      </c>
      <c r="E204" s="50">
        <f t="shared" si="9"/>
        <v>19261.97874789</v>
      </c>
      <c r="I204" s="68">
        <v>634.90399000000002</v>
      </c>
      <c r="J204" s="68">
        <v>89.354578950000004</v>
      </c>
      <c r="K204" s="68">
        <f t="shared" si="10"/>
        <v>724.25856895000004</v>
      </c>
      <c r="M204" s="51">
        <f>SUM(K193:K204)</f>
        <v>6431.2787075599999</v>
      </c>
      <c r="N204" s="108">
        <f t="shared" si="11"/>
        <v>18537720178.939999</v>
      </c>
      <c r="O204" s="102"/>
    </row>
    <row r="205" spans="1:17">
      <c r="A205" s="48">
        <v>44562</v>
      </c>
      <c r="B205" s="65">
        <v>91.919430000000006</v>
      </c>
      <c r="C205" s="49">
        <v>1110.3979999999999</v>
      </c>
      <c r="D205" s="106">
        <v>16752.50142461</v>
      </c>
      <c r="E205" s="50">
        <f t="shared" si="9"/>
        <v>17387.47843702</v>
      </c>
      <c r="I205" s="51">
        <v>454.70562000000001</v>
      </c>
      <c r="J205" s="51">
        <v>180.27139241000003</v>
      </c>
      <c r="K205" s="51">
        <f t="shared" si="10"/>
        <v>634.97701241000004</v>
      </c>
      <c r="M205" s="51"/>
      <c r="N205" s="108">
        <f t="shared" si="11"/>
        <v>16752501424.610001</v>
      </c>
      <c r="O205" s="102"/>
    </row>
    <row r="206" spans="1:17">
      <c r="A206" s="48">
        <v>44593</v>
      </c>
      <c r="B206" s="65">
        <v>95.661919999999995</v>
      </c>
      <c r="C206" s="49">
        <v>1127.077</v>
      </c>
      <c r="D206" s="106">
        <v>14218.43297337</v>
      </c>
      <c r="E206" s="50">
        <f t="shared" si="9"/>
        <v>14891.32973252</v>
      </c>
      <c r="I206" s="51">
        <v>494.58578</v>
      </c>
      <c r="J206" s="51">
        <v>178.31097914999998</v>
      </c>
      <c r="K206" s="51">
        <f t="shared" si="10"/>
        <v>672.89675914999998</v>
      </c>
      <c r="M206" s="51"/>
      <c r="N206" s="108">
        <f t="shared" si="11"/>
        <v>14218432973.369999</v>
      </c>
      <c r="O206" s="102"/>
      <c r="P206" s="77"/>
      <c r="Q206" s="78"/>
    </row>
    <row r="207" spans="1:17">
      <c r="A207" s="48">
        <v>44621</v>
      </c>
      <c r="B207" s="65">
        <v>104.69045</v>
      </c>
      <c r="C207" s="49">
        <v>1153.777</v>
      </c>
      <c r="D207" s="106">
        <v>17894.885870620001</v>
      </c>
      <c r="E207" s="50">
        <f t="shared" si="9"/>
        <v>18735.134810129999</v>
      </c>
      <c r="I207" s="51">
        <v>632.20568000000003</v>
      </c>
      <c r="J207" s="51">
        <v>208.04325950999993</v>
      </c>
      <c r="K207" s="51">
        <f t="shared" si="10"/>
        <v>840.2489395099999</v>
      </c>
      <c r="M207" s="51"/>
      <c r="N207" s="108">
        <f t="shared" si="11"/>
        <v>17894885870.619999</v>
      </c>
      <c r="O207" s="102"/>
      <c r="P207" s="77"/>
      <c r="Q207" s="78"/>
    </row>
    <row r="208" spans="1:17">
      <c r="A208" s="48">
        <v>44652</v>
      </c>
      <c r="B208" s="65">
        <v>100.16511</v>
      </c>
      <c r="C208" s="49">
        <v>1158.546</v>
      </c>
      <c r="D208" s="106">
        <v>16829.366573899999</v>
      </c>
      <c r="E208" s="50">
        <f t="shared" si="9"/>
        <v>17635.91380712</v>
      </c>
      <c r="I208" s="51">
        <v>546.23907999999994</v>
      </c>
      <c r="J208" s="51">
        <v>260.30815321999978</v>
      </c>
      <c r="K208" s="51">
        <f t="shared" si="10"/>
        <v>806.54723321999973</v>
      </c>
      <c r="M208" s="51"/>
      <c r="N208" s="108">
        <f t="shared" si="11"/>
        <v>16829366573.9</v>
      </c>
      <c r="O208" s="102"/>
      <c r="P208" s="77"/>
      <c r="Q208" s="78"/>
    </row>
    <row r="209" spans="1:17">
      <c r="A209" s="48">
        <v>44682</v>
      </c>
      <c r="B209" s="65">
        <v>99.778630000000007</v>
      </c>
      <c r="C209" s="49">
        <v>1166.5419999999999</v>
      </c>
      <c r="D209" s="106">
        <v>16898.411987880001</v>
      </c>
      <c r="E209" s="50">
        <f t="shared" si="9"/>
        <v>17674.56586595</v>
      </c>
      <c r="I209" s="51">
        <v>507.42811999999998</v>
      </c>
      <c r="J209" s="51">
        <v>268.72575806999987</v>
      </c>
      <c r="K209" s="51">
        <f t="shared" si="10"/>
        <v>776.15387806999979</v>
      </c>
      <c r="M209" s="51"/>
      <c r="N209" s="108">
        <f t="shared" si="11"/>
        <v>16898411987.880001</v>
      </c>
      <c r="O209" s="102"/>
      <c r="P209" s="77"/>
      <c r="Q209" s="78"/>
    </row>
    <row r="210" spans="1:17">
      <c r="A210" s="48">
        <v>44713</v>
      </c>
      <c r="B210" s="65">
        <v>99.266540000000006</v>
      </c>
      <c r="C210" s="49">
        <v>1173.8309999999999</v>
      </c>
      <c r="D210" s="106">
        <v>16974.555107169999</v>
      </c>
      <c r="E210" s="50">
        <f t="shared" si="9"/>
        <v>17750.44094502</v>
      </c>
      <c r="I210" s="51">
        <v>385.32789000000002</v>
      </c>
      <c r="J210" s="51">
        <v>390.55794785000006</v>
      </c>
      <c r="K210" s="51">
        <f t="shared" si="10"/>
        <v>775.88583785000014</v>
      </c>
      <c r="M210" s="51"/>
      <c r="N210" s="108">
        <f t="shared" si="11"/>
        <v>16974555107.17</v>
      </c>
      <c r="O210" s="102"/>
      <c r="P210" s="77"/>
      <c r="Q210" s="78"/>
    </row>
    <row r="211" spans="1:17">
      <c r="A211" s="48">
        <v>44743</v>
      </c>
      <c r="B211" s="65">
        <v>104.00058</v>
      </c>
      <c r="C211" s="49">
        <v>1169.4259999999999</v>
      </c>
      <c r="D211" s="106">
        <v>17432.098806499998</v>
      </c>
      <c r="E211" s="50">
        <f t="shared" si="9"/>
        <v>18166.949329979998</v>
      </c>
      <c r="I211" s="51">
        <v>459.64416999999997</v>
      </c>
      <c r="J211" s="51">
        <v>275.20635348000002</v>
      </c>
      <c r="K211" s="51">
        <f t="shared" si="10"/>
        <v>734.85052347999999</v>
      </c>
      <c r="M211" s="51"/>
      <c r="N211" s="108">
        <f t="shared" si="11"/>
        <v>17432098806.5</v>
      </c>
      <c r="O211" s="102"/>
      <c r="P211" s="77"/>
      <c r="Q211" s="78"/>
    </row>
    <row r="212" spans="1:17">
      <c r="A212" s="48">
        <v>44774</v>
      </c>
      <c r="B212" s="65">
        <v>104.55338999999999</v>
      </c>
      <c r="C212" s="49">
        <v>1162.9559999999999</v>
      </c>
      <c r="D212" s="106">
        <v>17562.24097427</v>
      </c>
      <c r="E212" s="50">
        <f t="shared" si="9"/>
        <v>18492.364813799999</v>
      </c>
      <c r="I212" s="51">
        <v>468.07009000000005</v>
      </c>
      <c r="J212" s="51">
        <v>462.05374953000012</v>
      </c>
      <c r="K212" s="51">
        <f t="shared" si="10"/>
        <v>930.12383953000017</v>
      </c>
      <c r="M212" s="51"/>
      <c r="N212" s="108">
        <f t="shared" si="11"/>
        <v>17562240974.27</v>
      </c>
      <c r="O212" s="102"/>
      <c r="P212" s="77"/>
      <c r="Q212" s="78"/>
    </row>
    <row r="213" spans="1:17">
      <c r="A213" s="48">
        <v>44805</v>
      </c>
      <c r="B213" s="65">
        <v>101.13032</v>
      </c>
      <c r="C213" s="49">
        <v>1148.8109999999999</v>
      </c>
      <c r="D213" s="106">
        <v>17262.865345759994</v>
      </c>
      <c r="E213" s="50">
        <f t="shared" si="9"/>
        <v>18537.873003309993</v>
      </c>
      <c r="I213" s="51">
        <v>776.75037999999995</v>
      </c>
      <c r="J213" s="51">
        <v>498.25727754999997</v>
      </c>
      <c r="K213" s="51">
        <f t="shared" si="10"/>
        <v>1275.00765755</v>
      </c>
      <c r="M213" s="51"/>
      <c r="N213" s="108">
        <f t="shared" si="11"/>
        <v>17262865345.759995</v>
      </c>
      <c r="O213" s="102"/>
      <c r="P213" s="77"/>
      <c r="Q213" s="78"/>
    </row>
    <row r="214" spans="1:17">
      <c r="A214" s="48">
        <v>44835</v>
      </c>
      <c r="B214" s="65">
        <v>100.03545</v>
      </c>
      <c r="C214" s="49">
        <v>1141.7329999999999</v>
      </c>
      <c r="D214" s="106">
        <v>15734.832536739999</v>
      </c>
      <c r="E214" s="50">
        <f t="shared" si="9"/>
        <v>16654.975674239999</v>
      </c>
      <c r="I214" s="51">
        <v>466.79190999999997</v>
      </c>
      <c r="J214" s="51">
        <v>453.35122749999999</v>
      </c>
      <c r="K214" s="51">
        <f t="shared" si="10"/>
        <v>920.14313749999997</v>
      </c>
      <c r="M214" s="51"/>
      <c r="N214" s="108">
        <f t="shared" si="11"/>
        <v>15734832536.74</v>
      </c>
      <c r="O214" s="102"/>
      <c r="P214" s="77"/>
      <c r="Q214" s="78"/>
    </row>
    <row r="215" spans="1:17">
      <c r="A215" s="48">
        <v>44866</v>
      </c>
      <c r="B215" s="65">
        <v>98.950280000000006</v>
      </c>
      <c r="C215" s="49">
        <v>1139.7339999999999</v>
      </c>
      <c r="D215" s="106">
        <v>15974.38725183</v>
      </c>
      <c r="E215" s="50">
        <f t="shared" si="9"/>
        <v>16837.6372945</v>
      </c>
      <c r="I215" s="51">
        <v>397.69794000000002</v>
      </c>
      <c r="J215" s="51">
        <v>465.55210266999984</v>
      </c>
      <c r="K215" s="51">
        <f t="shared" si="10"/>
        <v>863.25004266999986</v>
      </c>
      <c r="M215" s="51"/>
      <c r="N215" s="108">
        <f t="shared" si="11"/>
        <v>15974387251.83</v>
      </c>
      <c r="O215" s="102"/>
      <c r="P215" s="77"/>
      <c r="Q215" s="78"/>
    </row>
    <row r="216" spans="1:17">
      <c r="A216" s="48">
        <v>44896</v>
      </c>
      <c r="B216" s="65">
        <v>99.847899999999996</v>
      </c>
      <c r="C216" s="49">
        <v>1143.2249999999999</v>
      </c>
      <c r="D216" s="106">
        <v>17648.117670920001</v>
      </c>
      <c r="E216" s="50">
        <f t="shared" si="9"/>
        <v>18922.736986030002</v>
      </c>
      <c r="I216" s="51">
        <v>639.61817000000008</v>
      </c>
      <c r="J216" s="51">
        <v>635.00114511000015</v>
      </c>
      <c r="K216" s="51">
        <f t="shared" si="10"/>
        <v>1274.6193151100001</v>
      </c>
      <c r="M216" s="51">
        <f>SUM(K205:K216)</f>
        <v>10504.704176050001</v>
      </c>
      <c r="N216" s="108">
        <f t="shared" si="11"/>
        <v>17648117670.920002</v>
      </c>
      <c r="O216" s="102"/>
      <c r="P216" s="77"/>
      <c r="Q216" s="78"/>
    </row>
    <row r="217" spans="1:17">
      <c r="A217" s="48">
        <v>44927</v>
      </c>
      <c r="B217" s="65">
        <v>95.330659999999995</v>
      </c>
      <c r="C217" s="49">
        <v>1143.8610000000001</v>
      </c>
      <c r="D217" s="106">
        <v>15516.136788469998</v>
      </c>
      <c r="E217" s="50">
        <f t="shared" si="9"/>
        <v>16673.141298659997</v>
      </c>
      <c r="I217" s="68">
        <v>633.53587000000005</v>
      </c>
      <c r="J217" s="68">
        <v>523.46864019000009</v>
      </c>
      <c r="K217" s="68">
        <f t="shared" si="10"/>
        <v>1157.00451019</v>
      </c>
      <c r="M217" s="51"/>
      <c r="N217" s="108">
        <f t="shared" si="11"/>
        <v>15516136788.469997</v>
      </c>
      <c r="O217" s="102"/>
      <c r="P217" s="77"/>
      <c r="Q217" s="78"/>
    </row>
    <row r="218" spans="1:17">
      <c r="A218" s="48">
        <v>44958</v>
      </c>
      <c r="B218" s="65">
        <v>98.66798</v>
      </c>
      <c r="C218" s="49">
        <v>1144.271</v>
      </c>
      <c r="D218" s="106">
        <v>14476.09423642</v>
      </c>
      <c r="E218" s="50">
        <f t="shared" si="9"/>
        <v>15559.49455446</v>
      </c>
      <c r="I218" s="68">
        <v>560.68313999999998</v>
      </c>
      <c r="J218" s="68">
        <v>522.71717803999991</v>
      </c>
      <c r="K218" s="68">
        <f t="shared" si="10"/>
        <v>1083.40031804</v>
      </c>
      <c r="M218" s="51"/>
      <c r="N218" s="108">
        <f t="shared" si="11"/>
        <v>14476094236.42</v>
      </c>
      <c r="O218" s="102"/>
      <c r="P218" s="77"/>
      <c r="Q218" s="78"/>
    </row>
    <row r="219" spans="1:17">
      <c r="A219" s="48">
        <v>44986</v>
      </c>
      <c r="B219" s="65">
        <v>110.75572</v>
      </c>
      <c r="C219" s="49">
        <v>1140.357</v>
      </c>
      <c r="D219" s="107">
        <v>15083.983952339999</v>
      </c>
      <c r="E219" s="50">
        <f t="shared" si="9"/>
        <v>16350.862392839999</v>
      </c>
      <c r="G219" s="62"/>
      <c r="H219" s="62"/>
      <c r="I219" s="68">
        <v>514.18519000000003</v>
      </c>
      <c r="J219" s="68">
        <v>752.69325049999986</v>
      </c>
      <c r="K219" s="68">
        <f t="shared" si="10"/>
        <v>1266.8784404999999</v>
      </c>
      <c r="M219" s="51"/>
      <c r="N219" s="108">
        <f t="shared" si="11"/>
        <v>15083983952.339998</v>
      </c>
      <c r="O219" s="102"/>
      <c r="P219" s="77"/>
      <c r="Q219" s="78"/>
    </row>
    <row r="220" spans="1:17">
      <c r="A220" s="48">
        <v>45017</v>
      </c>
      <c r="B220" s="65">
        <v>103.9285</v>
      </c>
      <c r="C220" s="49">
        <v>1128.8050000000001</v>
      </c>
      <c r="D220" s="106">
        <v>15727.88563065</v>
      </c>
      <c r="E220" s="50">
        <f t="shared" si="9"/>
        <v>16756.515986630002</v>
      </c>
      <c r="I220" s="68">
        <v>499.95996000000002</v>
      </c>
      <c r="J220" s="68">
        <v>528.67039597999985</v>
      </c>
      <c r="K220" s="68">
        <f t="shared" si="10"/>
        <v>1028.6303559799999</v>
      </c>
      <c r="M220" s="51"/>
      <c r="N220" s="108">
        <f t="shared" si="11"/>
        <v>15727885630.65</v>
      </c>
      <c r="O220" s="102"/>
      <c r="P220" s="77"/>
      <c r="Q220" s="78"/>
    </row>
    <row r="221" spans="1:17">
      <c r="A221" s="48">
        <v>45047</v>
      </c>
      <c r="B221" s="65">
        <v>102.77970999999999</v>
      </c>
      <c r="C221" s="49">
        <v>1102.5060000000001</v>
      </c>
      <c r="D221" s="106">
        <v>15127.5013635</v>
      </c>
      <c r="E221" s="50">
        <f t="shared" si="9"/>
        <v>16407.477641829999</v>
      </c>
      <c r="I221" s="68">
        <v>617.8646</v>
      </c>
      <c r="J221" s="68">
        <v>662.11167833000002</v>
      </c>
      <c r="K221" s="68">
        <f t="shared" si="10"/>
        <v>1279.97627833</v>
      </c>
      <c r="M221" s="51"/>
      <c r="N221" s="108">
        <f t="shared" si="11"/>
        <v>15127501363.5</v>
      </c>
      <c r="O221" s="102"/>
      <c r="P221" s="77"/>
      <c r="Q221" s="78"/>
    </row>
    <row r="222" spans="1:17">
      <c r="A222" s="48">
        <v>45078</v>
      </c>
      <c r="B222" s="65">
        <v>102.19604</v>
      </c>
      <c r="C222" s="49">
        <v>1086.4739999999999</v>
      </c>
      <c r="D222" s="106">
        <v>16274.28971863</v>
      </c>
      <c r="E222" s="50">
        <f t="shared" ref="E222:E237" si="12">D222+K222</f>
        <v>17497.568992</v>
      </c>
      <c r="I222" s="68">
        <v>667.69806000000005</v>
      </c>
      <c r="J222" s="68">
        <v>555.58121337</v>
      </c>
      <c r="K222" s="68">
        <f t="shared" ref="K222:K235" si="13">I222+J222</f>
        <v>1223.2792733700001</v>
      </c>
      <c r="M222" s="51"/>
      <c r="N222" s="108">
        <f t="shared" si="11"/>
        <v>16274289718.629999</v>
      </c>
      <c r="O222" s="102"/>
      <c r="P222" s="77"/>
      <c r="Q222" s="78"/>
    </row>
    <row r="223" spans="1:17">
      <c r="A223" s="48">
        <v>45108</v>
      </c>
      <c r="B223" s="65">
        <v>105.3883</v>
      </c>
      <c r="C223" s="49">
        <v>1082.105</v>
      </c>
      <c r="D223" s="106">
        <v>15710.363164029999</v>
      </c>
      <c r="E223" s="50">
        <f t="shared" si="12"/>
        <v>16959.62208886</v>
      </c>
      <c r="I223" s="68">
        <v>543.51695999999993</v>
      </c>
      <c r="J223" s="68">
        <v>705.74196483000014</v>
      </c>
      <c r="K223" s="68">
        <f t="shared" si="13"/>
        <v>1249.2589248300001</v>
      </c>
      <c r="M223" s="51"/>
      <c r="N223" s="108">
        <f t="shared" si="11"/>
        <v>15710363164.029999</v>
      </c>
      <c r="O223" s="102"/>
      <c r="P223" s="77"/>
      <c r="Q223" s="78"/>
    </row>
    <row r="224" spans="1:17">
      <c r="A224" s="48">
        <v>45139</v>
      </c>
      <c r="B224" s="65">
        <v>106.08987</v>
      </c>
      <c r="C224" s="49">
        <v>1082.5930000000001</v>
      </c>
      <c r="D224" s="106">
        <v>16473.535970139998</v>
      </c>
      <c r="E224" s="50">
        <f t="shared" si="12"/>
        <v>17539.256139049998</v>
      </c>
      <c r="I224" s="68">
        <v>431.00662</v>
      </c>
      <c r="J224" s="68">
        <v>634.7135489100001</v>
      </c>
      <c r="K224" s="68">
        <f t="shared" si="13"/>
        <v>1065.7201689100002</v>
      </c>
      <c r="M224" s="51"/>
      <c r="N224" s="108">
        <f t="shared" si="11"/>
        <v>16473535970.139997</v>
      </c>
      <c r="O224" s="102"/>
      <c r="P224" s="77"/>
      <c r="Q224" s="78"/>
    </row>
    <row r="225" spans="1:17">
      <c r="A225" s="48">
        <v>45170</v>
      </c>
      <c r="B225" s="65">
        <v>101.78716</v>
      </c>
      <c r="C225" s="49">
        <v>1087.4190000000001</v>
      </c>
      <c r="D225" s="106">
        <v>17090.03616548</v>
      </c>
      <c r="E225" s="50">
        <f t="shared" si="12"/>
        <v>18114.165393660001</v>
      </c>
      <c r="I225" s="68">
        <v>562.7426999999999</v>
      </c>
      <c r="J225" s="68">
        <v>461.38652818000008</v>
      </c>
      <c r="K225" s="68">
        <f t="shared" si="13"/>
        <v>1024.1292281799999</v>
      </c>
      <c r="M225" s="51"/>
      <c r="N225" s="108">
        <f t="shared" si="11"/>
        <v>17090036165.48</v>
      </c>
      <c r="O225" s="102"/>
      <c r="P225" s="77"/>
      <c r="Q225" s="78"/>
    </row>
    <row r="226" spans="1:17">
      <c r="A226" s="48">
        <v>45200</v>
      </c>
      <c r="B226" s="65">
        <v>101.93974</v>
      </c>
      <c r="C226" s="49">
        <v>1092.9739999999999</v>
      </c>
      <c r="D226" s="106">
        <v>17131.582681720003</v>
      </c>
      <c r="E226" s="50">
        <f t="shared" si="12"/>
        <v>18306.477191000002</v>
      </c>
      <c r="I226" s="68">
        <v>704.33912999999995</v>
      </c>
      <c r="J226" s="68">
        <v>470.55537928000018</v>
      </c>
      <c r="K226" s="68">
        <f t="shared" si="13"/>
        <v>1174.8945092800002</v>
      </c>
      <c r="M226" s="51"/>
      <c r="N226" s="108">
        <f t="shared" si="11"/>
        <v>17131582681.720003</v>
      </c>
      <c r="O226" s="102"/>
      <c r="P226" s="77"/>
      <c r="Q226" s="78"/>
    </row>
    <row r="227" spans="1:17">
      <c r="A227" s="48">
        <v>45231</v>
      </c>
      <c r="B227" s="65">
        <v>101.61999</v>
      </c>
      <c r="C227" s="49">
        <v>1098.48</v>
      </c>
      <c r="D227" s="106">
        <v>16945.441309869999</v>
      </c>
      <c r="E227" s="50">
        <f t="shared" si="12"/>
        <v>18121.391427319999</v>
      </c>
      <c r="I227" s="68">
        <v>588.32213999999999</v>
      </c>
      <c r="J227" s="68">
        <v>587.62797744999989</v>
      </c>
      <c r="K227" s="68">
        <f t="shared" si="13"/>
        <v>1175.9501174499999</v>
      </c>
      <c r="M227" s="51"/>
      <c r="N227" s="108">
        <f t="shared" si="11"/>
        <v>16945441309.869999</v>
      </c>
      <c r="O227" s="102"/>
      <c r="P227" s="77"/>
      <c r="Q227" s="78"/>
    </row>
    <row r="228" spans="1:17">
      <c r="A228" s="48">
        <v>45261</v>
      </c>
      <c r="B228" s="65">
        <v>101.63032</v>
      </c>
      <c r="C228" s="49">
        <v>1105.5409999999999</v>
      </c>
      <c r="D228" s="106">
        <v>18064.811243469998</v>
      </c>
      <c r="E228" s="50">
        <f t="shared" si="12"/>
        <v>19430.536531139998</v>
      </c>
      <c r="I228" s="68">
        <v>909.43704000000002</v>
      </c>
      <c r="J228" s="68">
        <v>456.28824767000009</v>
      </c>
      <c r="K228" s="68">
        <f t="shared" si="13"/>
        <v>1365.7252876700002</v>
      </c>
      <c r="M228" s="51">
        <f>SUM(K217:K228)</f>
        <v>14094.84741273</v>
      </c>
      <c r="N228" s="108">
        <f t="shared" si="11"/>
        <v>18064811243.469997</v>
      </c>
      <c r="O228" s="102"/>
      <c r="P228" s="77"/>
      <c r="Q228" s="78"/>
    </row>
    <row r="229" spans="1:17">
      <c r="A229" s="48">
        <v>45292</v>
      </c>
      <c r="B229" s="65">
        <v>99.371009999999998</v>
      </c>
      <c r="C229" s="49">
        <v>1102.5709999999999</v>
      </c>
      <c r="D229" s="106">
        <v>17315.459932759994</v>
      </c>
      <c r="E229" s="50">
        <f t="shared" si="12"/>
        <v>18507.172365649993</v>
      </c>
      <c r="G229" s="50" t="s">
        <v>46</v>
      </c>
      <c r="H229" s="50" t="s">
        <v>47</v>
      </c>
      <c r="I229" s="51">
        <v>817.36797000000001</v>
      </c>
      <c r="J229" s="51">
        <v>374.34446288999999</v>
      </c>
      <c r="K229" s="51">
        <f t="shared" si="13"/>
        <v>1191.7124328899999</v>
      </c>
      <c r="M229" s="51"/>
      <c r="N229" s="108">
        <f t="shared" si="11"/>
        <v>17315459932.759995</v>
      </c>
      <c r="O229" s="102"/>
      <c r="P229" s="77"/>
      <c r="Q229" s="78"/>
    </row>
    <row r="230" spans="1:17">
      <c r="A230" s="48">
        <v>45323</v>
      </c>
      <c r="B230" s="65">
        <v>102.27696</v>
      </c>
      <c r="C230" s="49">
        <v>1098.095</v>
      </c>
      <c r="D230" s="106">
        <v>16509.914512709998</v>
      </c>
      <c r="E230" s="50">
        <f t="shared" si="12"/>
        <v>17494.179925369997</v>
      </c>
      <c r="G230" s="50">
        <v>24.98544875</v>
      </c>
      <c r="H230" s="50">
        <v>16534.89996146</v>
      </c>
      <c r="I230" s="51">
        <v>635.18851000000006</v>
      </c>
      <c r="J230" s="51">
        <v>349.07690265999997</v>
      </c>
      <c r="K230" s="51">
        <f t="shared" si="13"/>
        <v>984.26541266000004</v>
      </c>
      <c r="M230" s="51"/>
      <c r="N230" s="108">
        <f t="shared" si="11"/>
        <v>16509914512.709999</v>
      </c>
      <c r="O230" s="102"/>
      <c r="P230" s="82"/>
      <c r="Q230" s="78"/>
    </row>
    <row r="231" spans="1:17">
      <c r="A231" s="48">
        <v>45352</v>
      </c>
      <c r="B231" s="65">
        <v>109.7783</v>
      </c>
      <c r="C231" s="49">
        <v>1094.7629999999999</v>
      </c>
      <c r="D231" s="106">
        <v>16358.79516218</v>
      </c>
      <c r="E231" s="50">
        <f t="shared" si="12"/>
        <v>17375.30217246</v>
      </c>
      <c r="G231" s="50">
        <v>99.696905239999992</v>
      </c>
      <c r="H231" s="50">
        <v>16458.49206742</v>
      </c>
      <c r="I231" s="51">
        <v>609.93061</v>
      </c>
      <c r="J231" s="51">
        <v>406.57640027999997</v>
      </c>
      <c r="K231" s="51">
        <f t="shared" si="13"/>
        <v>1016.50701028</v>
      </c>
      <c r="M231" s="51"/>
      <c r="N231" s="108">
        <f t="shared" si="11"/>
        <v>16358795162.18</v>
      </c>
      <c r="O231" s="102"/>
      <c r="P231" s="82"/>
      <c r="Q231" s="78"/>
    </row>
    <row r="232" spans="1:17">
      <c r="A232" s="48">
        <v>45383</v>
      </c>
      <c r="B232" s="65">
        <v>109.29640000000001</v>
      </c>
      <c r="C232" s="49">
        <v>1102.6600000000001</v>
      </c>
      <c r="D232" s="106">
        <v>17912.483626280002</v>
      </c>
      <c r="E232" s="50">
        <f t="shared" si="12"/>
        <v>18815.736646090001</v>
      </c>
      <c r="G232" s="50">
        <v>419.99771433000001</v>
      </c>
      <c r="H232" s="50">
        <v>18332.48134061</v>
      </c>
      <c r="I232" s="51">
        <v>500.42786999999998</v>
      </c>
      <c r="J232" s="51">
        <v>402.82514981000008</v>
      </c>
      <c r="K232" s="51">
        <f t="shared" si="13"/>
        <v>903.25301981000007</v>
      </c>
      <c r="M232" s="51"/>
      <c r="N232" s="108">
        <f t="shared" si="11"/>
        <v>17912483626.280003</v>
      </c>
      <c r="O232" s="102"/>
      <c r="P232" s="82"/>
      <c r="Q232" s="78"/>
    </row>
    <row r="233" spans="1:17">
      <c r="A233" s="48">
        <v>45413</v>
      </c>
      <c r="B233" s="65">
        <v>104.71253</v>
      </c>
      <c r="C233" s="49">
        <v>1112.26</v>
      </c>
      <c r="D233" s="106">
        <v>17713.038462009998</v>
      </c>
      <c r="E233" s="50">
        <f t="shared" si="12"/>
        <v>18824.739030109999</v>
      </c>
      <c r="G233" s="50">
        <v>553.05781350999905</v>
      </c>
      <c r="H233" s="50">
        <v>18266.096275519998</v>
      </c>
      <c r="I233" s="51">
        <v>441.24165000000005</v>
      </c>
      <c r="J233" s="51">
        <v>670.45891809999989</v>
      </c>
      <c r="K233" s="51">
        <f t="shared" si="13"/>
        <v>1111.7005681000001</v>
      </c>
      <c r="M233" s="51"/>
      <c r="N233" s="108">
        <f t="shared" si="11"/>
        <v>17713038462.009998</v>
      </c>
      <c r="O233" s="102"/>
      <c r="P233" s="82"/>
      <c r="Q233" s="78"/>
    </row>
    <row r="234" spans="1:17">
      <c r="A234" s="48">
        <v>45444</v>
      </c>
      <c r="B234" s="65">
        <v>105.80275</v>
      </c>
      <c r="C234" s="49">
        <v>1117.787</v>
      </c>
      <c r="D234" s="106">
        <v>17881.964205529999</v>
      </c>
      <c r="E234" s="50">
        <f t="shared" si="12"/>
        <v>19274.252473569999</v>
      </c>
      <c r="G234" s="50">
        <v>93.444983220000211</v>
      </c>
      <c r="H234" s="50">
        <v>17975.40918875</v>
      </c>
      <c r="I234" s="51">
        <v>736.20776999999998</v>
      </c>
      <c r="J234" s="51">
        <v>656.08049804000007</v>
      </c>
      <c r="K234" s="51">
        <f t="shared" si="13"/>
        <v>1392.28826804</v>
      </c>
      <c r="M234" s="51"/>
      <c r="N234" s="108">
        <f t="shared" si="11"/>
        <v>17881964205.529999</v>
      </c>
      <c r="O234" s="102"/>
      <c r="P234" s="82"/>
    </row>
    <row r="235" spans="1:17">
      <c r="A235" s="48">
        <v>45474</v>
      </c>
      <c r="B235" s="65">
        <v>111.64756</v>
      </c>
      <c r="C235" s="49">
        <v>1127.1010000000001</v>
      </c>
      <c r="D235" s="106">
        <v>18884.647195539997</v>
      </c>
      <c r="E235" s="50">
        <f t="shared" si="12"/>
        <v>20357.440656739996</v>
      </c>
      <c r="G235" s="50">
        <v>139.79511034000001</v>
      </c>
      <c r="H235" s="50">
        <v>19024.442305879998</v>
      </c>
      <c r="I235" s="51">
        <v>670.61743000000001</v>
      </c>
      <c r="J235" s="51">
        <v>802.17603119999899</v>
      </c>
      <c r="K235" s="51">
        <f t="shared" si="13"/>
        <v>1472.793461199999</v>
      </c>
      <c r="N235" s="108">
        <f t="shared" si="11"/>
        <v>18884647195.539997</v>
      </c>
      <c r="O235" s="102"/>
      <c r="P235" s="82"/>
    </row>
    <row r="236" spans="1:17">
      <c r="A236" s="48">
        <v>45505</v>
      </c>
      <c r="B236" s="65">
        <v>110.1461</v>
      </c>
      <c r="C236" s="49">
        <v>1128.4079999999999</v>
      </c>
      <c r="D236" s="106">
        <v>18540.904075570001</v>
      </c>
      <c r="E236" s="50">
        <f t="shared" si="12"/>
        <v>19804.494087090003</v>
      </c>
      <c r="G236" s="50">
        <v>158.95563559999991</v>
      </c>
      <c r="H236" s="50">
        <v>18780.915979519999</v>
      </c>
      <c r="I236" s="51">
        <v>464.29826000000003</v>
      </c>
      <c r="J236" s="51">
        <v>799.29175152000096</v>
      </c>
      <c r="K236" s="51">
        <f>I236+J236</f>
        <v>1263.5900115200011</v>
      </c>
      <c r="M236" s="51">
        <f>SUM(K229:K236)</f>
        <v>9336.1101845000012</v>
      </c>
      <c r="N236" s="108">
        <f t="shared" si="11"/>
        <v>18540904075.57</v>
      </c>
      <c r="O236" s="102"/>
      <c r="P236" s="82"/>
    </row>
    <row r="237" spans="1:17">
      <c r="A237" s="48">
        <v>45536</v>
      </c>
      <c r="B237" s="65">
        <v>107.12451</v>
      </c>
      <c r="C237" s="49">
        <v>1139.981</v>
      </c>
      <c r="D237" s="106">
        <v>19029.306260090001</v>
      </c>
      <c r="E237" s="50">
        <f t="shared" si="12"/>
        <v>20202.373704013335</v>
      </c>
      <c r="G237" s="50">
        <v>131.1693654522058</v>
      </c>
      <c r="H237" s="50">
        <v>18850</v>
      </c>
      <c r="I237" s="86">
        <f>AVERAGE(I225:I236)</f>
        <v>636.67675666666673</v>
      </c>
      <c r="J237" s="86">
        <f>AVERAGE(J225:J236)</f>
        <v>536.39068725666664</v>
      </c>
      <c r="K237" s="86">
        <f>I237+J237</f>
        <v>1173.0674439233335</v>
      </c>
      <c r="L237" s="87"/>
      <c r="M237" s="86">
        <f>SUM(K229:K237)</f>
        <v>10509.177628423335</v>
      </c>
      <c r="N237" s="108">
        <f t="shared" si="11"/>
        <v>19029306260.09</v>
      </c>
      <c r="O237" s="102"/>
    </row>
    <row r="238" spans="1:17">
      <c r="A238" s="48">
        <v>45566</v>
      </c>
      <c r="B238" s="65">
        <v>109.17177</v>
      </c>
      <c r="C238" s="49">
        <v>1157.5160000000001</v>
      </c>
      <c r="D238" s="106">
        <v>19501.172683879995</v>
      </c>
      <c r="G238" s="50">
        <v>131.01002146024453</v>
      </c>
      <c r="I238" s="51"/>
      <c r="J238" s="51"/>
      <c r="K238" s="51"/>
      <c r="M238" s="51"/>
      <c r="N238" s="108">
        <f t="shared" si="11"/>
        <v>19501172683.879993</v>
      </c>
      <c r="O238" s="102"/>
    </row>
    <row r="239" spans="1:17">
      <c r="A239" s="48">
        <v>45597</v>
      </c>
      <c r="B239" s="65">
        <v>105.39655999999999</v>
      </c>
      <c r="C239" s="49">
        <v>1171.21</v>
      </c>
      <c r="D239" s="106">
        <v>18944.960360939996</v>
      </c>
      <c r="G239" s="50">
        <v>130.78389708980728</v>
      </c>
      <c r="I239" s="51"/>
      <c r="J239" s="51"/>
      <c r="K239" s="51"/>
      <c r="M239" s="51"/>
      <c r="N239" s="108">
        <f t="shared" si="11"/>
        <v>18944960360.939995</v>
      </c>
    </row>
    <row r="240" spans="1:17">
      <c r="A240" s="48">
        <v>45627</v>
      </c>
      <c r="B240" s="65">
        <v>104.09766999999999</v>
      </c>
      <c r="C240" s="49">
        <v>1181.4069999999999</v>
      </c>
      <c r="D240" s="106">
        <v>19873.352591749997</v>
      </c>
      <c r="G240" s="50">
        <v>130.56672360591597</v>
      </c>
      <c r="I240" s="51"/>
      <c r="J240" s="51"/>
      <c r="K240" s="51"/>
      <c r="M240" s="51"/>
      <c r="N240" s="108">
        <f t="shared" si="11"/>
        <v>19873352591.749996</v>
      </c>
    </row>
    <row r="241" spans="1:14">
      <c r="A241" s="48">
        <v>45658</v>
      </c>
      <c r="B241" s="65">
        <v>102.91442000000001</v>
      </c>
      <c r="C241" s="49">
        <v>1182.693</v>
      </c>
      <c r="D241" s="106">
        <v>19026.769903559998</v>
      </c>
      <c r="I241" s="51"/>
      <c r="K241" s="51"/>
      <c r="M241" s="51"/>
      <c r="N241" s="108">
        <f t="shared" si="11"/>
        <v>19026769903.559998</v>
      </c>
    </row>
    <row r="242" spans="1:14">
      <c r="A242" s="48">
        <v>45689</v>
      </c>
      <c r="B242" s="65">
        <v>106.85842</v>
      </c>
      <c r="C242" s="49">
        <v>1194.518</v>
      </c>
      <c r="D242" s="106">
        <v>18712.825995110001</v>
      </c>
      <c r="I242" s="51"/>
      <c r="K242" s="83"/>
      <c r="L242" s="83"/>
      <c r="M242" s="83"/>
      <c r="N242" s="108">
        <f t="shared" si="11"/>
        <v>18712825995.110001</v>
      </c>
    </row>
    <row r="243" spans="1:14">
      <c r="A243" s="48">
        <v>45717</v>
      </c>
      <c r="B243" s="65">
        <v>113.93961</v>
      </c>
      <c r="C243" s="49">
        <v>1188.55</v>
      </c>
      <c r="D243" s="106">
        <v>17646.099464569998</v>
      </c>
      <c r="K243" s="83"/>
      <c r="L243" s="83"/>
      <c r="M243" s="51"/>
      <c r="N243" s="108">
        <f t="shared" si="11"/>
        <v>17646099464.569996</v>
      </c>
    </row>
    <row r="244" spans="1:14">
      <c r="A244" s="48">
        <v>45748</v>
      </c>
      <c r="B244" s="65">
        <v>112.29850999999999</v>
      </c>
      <c r="C244" s="49">
        <v>1192.079</v>
      </c>
      <c r="D244" s="106">
        <v>19175.525385180001</v>
      </c>
      <c r="K244" s="83"/>
      <c r="L244" s="83"/>
      <c r="M244" s="51"/>
      <c r="N244" s="108">
        <f t="shared" si="11"/>
        <v>19175525385.18</v>
      </c>
    </row>
    <row r="245" spans="1:14" ht="15.75">
      <c r="A245" s="48">
        <v>45778</v>
      </c>
      <c r="B245" s="65">
        <v>108.46495</v>
      </c>
      <c r="C245" s="49">
        <v>1181.9449999999999</v>
      </c>
      <c r="D245" s="106">
        <v>18440.139331280003</v>
      </c>
      <c r="K245" s="16"/>
      <c r="L245" s="83"/>
      <c r="M245" s="51"/>
      <c r="N245" s="108">
        <f t="shared" si="11"/>
        <v>18440139331.280003</v>
      </c>
    </row>
    <row r="246" spans="1:14">
      <c r="A246" s="48">
        <v>45809</v>
      </c>
      <c r="B246" s="65">
        <v>107.22845</v>
      </c>
      <c r="C246" s="49">
        <v>1160.6130000000001</v>
      </c>
      <c r="D246" s="106">
        <v>18838.825918260001</v>
      </c>
      <c r="K246" s="83"/>
      <c r="L246" s="83"/>
      <c r="M246" s="51"/>
      <c r="N246" s="108">
        <f t="shared" si="11"/>
        <v>18838825918.260002</v>
      </c>
    </row>
    <row r="247" spans="1:14">
      <c r="A247" s="48">
        <v>45839</v>
      </c>
      <c r="B247" s="65">
        <v>112.98350000000001</v>
      </c>
      <c r="C247" s="49">
        <v>1159.8510000000001</v>
      </c>
      <c r="D247" s="106">
        <v>19485.732879669999</v>
      </c>
      <c r="K247" s="83"/>
      <c r="L247" s="83"/>
      <c r="M247" s="51"/>
      <c r="N247" s="108">
        <f t="shared" si="11"/>
        <v>19485732879.669998</v>
      </c>
    </row>
    <row r="248" spans="1:14">
      <c r="A248" s="48">
        <v>45870</v>
      </c>
      <c r="B248" s="65">
        <v>110.28542</v>
      </c>
      <c r="C248" s="49">
        <v>1162.2190000000001</v>
      </c>
      <c r="D248" s="106">
        <v>18858.30732562</v>
      </c>
      <c r="M248" s="51"/>
      <c r="N248" s="108">
        <f t="shared" si="11"/>
        <v>18858307325.619999</v>
      </c>
    </row>
    <row r="249" spans="1:14">
      <c r="A249" s="48">
        <v>45901</v>
      </c>
      <c r="B249" s="65">
        <v>109.44</v>
      </c>
      <c r="C249" s="49">
        <v>1166.3489999999999</v>
      </c>
      <c r="D249" s="106">
        <v>20094.250753029995</v>
      </c>
      <c r="E249" s="50">
        <v>20221</v>
      </c>
      <c r="F249" s="50">
        <v>20221</v>
      </c>
      <c r="G249" s="50">
        <v>20221</v>
      </c>
      <c r="H249" s="50">
        <v>20221</v>
      </c>
      <c r="I249" s="50">
        <v>20221</v>
      </c>
      <c r="J249" s="50">
        <v>20221</v>
      </c>
      <c r="K249" s="50">
        <v>20221</v>
      </c>
      <c r="L249" s="50">
        <v>20221</v>
      </c>
      <c r="M249" s="50">
        <v>20221</v>
      </c>
      <c r="N249" s="108">
        <f t="shared" si="11"/>
        <v>20094250753.029995</v>
      </c>
    </row>
    <row r="250" spans="1:14">
      <c r="A250" s="48">
        <v>45931</v>
      </c>
      <c r="B250" s="65">
        <v>109.61</v>
      </c>
      <c r="C250" s="49">
        <v>1165.98</v>
      </c>
      <c r="D250" s="109">
        <f>20927.5595354422-143.23</f>
        <v>20784.329535442201</v>
      </c>
      <c r="M250" s="51"/>
      <c r="N250" s="108">
        <f t="shared" si="11"/>
        <v>20784329535.4422</v>
      </c>
    </row>
    <row r="251" spans="1:14">
      <c r="A251" s="48">
        <v>45962</v>
      </c>
      <c r="B251" s="102">
        <v>108.91478747862668</v>
      </c>
      <c r="C251" s="49">
        <v>1165.0719999999999</v>
      </c>
      <c r="M251" s="51"/>
    </row>
    <row r="252" spans="1:14">
      <c r="A252" s="48">
        <v>45992</v>
      </c>
      <c r="B252" s="102">
        <v>108.9377496766182</v>
      </c>
      <c r="C252" s="55">
        <v>1172.01</v>
      </c>
      <c r="M252" s="51"/>
    </row>
    <row r="253" spans="1:14" ht="15.95" customHeight="1">
      <c r="A253" s="48">
        <v>46023</v>
      </c>
      <c r="B253" s="112">
        <v>104.8452854630797</v>
      </c>
      <c r="C253" s="111">
        <f>'IGP-DI'!B51</f>
        <v>1175.8544004692951</v>
      </c>
      <c r="M253" s="51"/>
    </row>
    <row r="254" spans="1:14" ht="15.6" customHeight="1">
      <c r="A254" s="48">
        <v>46054</v>
      </c>
      <c r="B254" s="112">
        <v>107.42143408147395</v>
      </c>
      <c r="C254" s="111">
        <f>'IGP-DI'!B52</f>
        <v>1179.6471102646397</v>
      </c>
      <c r="M254" s="51"/>
    </row>
    <row r="255" spans="1:14" ht="15.6" customHeight="1">
      <c r="A255" s="48">
        <v>46082</v>
      </c>
      <c r="B255" s="112">
        <v>116.57575155544636</v>
      </c>
      <c r="C255" s="111">
        <f>'IGP-DI'!B53</f>
        <v>1183.4520534177757</v>
      </c>
      <c r="M255" s="51"/>
    </row>
    <row r="256" spans="1:14" ht="15.6" customHeight="1">
      <c r="A256" s="48">
        <v>46113</v>
      </c>
      <c r="B256" s="112">
        <v>112.93119775714344</v>
      </c>
      <c r="C256" s="111">
        <f>'IGP-DI'!B54</f>
        <v>1187.2692693873096</v>
      </c>
      <c r="M256" s="51"/>
    </row>
    <row r="257" spans="1:14" ht="15.6" customHeight="1">
      <c r="A257" s="48">
        <v>46143</v>
      </c>
      <c r="B257" s="112">
        <v>109.49528347114639</v>
      </c>
      <c r="C257" s="111">
        <f>'IGP-DI'!B55</f>
        <v>1191.0987977591212</v>
      </c>
      <c r="M257" s="51"/>
    </row>
    <row r="258" spans="1:14" ht="15.6" customHeight="1">
      <c r="A258" s="48">
        <v>46174</v>
      </c>
      <c r="B258" s="112">
        <v>110.36743017771018</v>
      </c>
      <c r="C258" s="111">
        <f>'IGP-DI'!B56</f>
        <v>1194.9406782467743</v>
      </c>
      <c r="M258" s="51"/>
    </row>
    <row r="259" spans="1:14" ht="15.6" customHeight="1">
      <c r="A259" s="48">
        <v>46204</v>
      </c>
      <c r="B259" s="112">
        <v>116.97938329318286</v>
      </c>
      <c r="C259" s="111">
        <f>'IGP-DI'!B57</f>
        <v>1198.7949506919285</v>
      </c>
      <c r="M259" s="51"/>
    </row>
    <row r="260" spans="1:14" ht="15.6" customHeight="1">
      <c r="A260" s="48">
        <v>46235</v>
      </c>
      <c r="B260" s="112">
        <v>111.40623846578903</v>
      </c>
      <c r="C260" s="111">
        <f>'IGP-DI'!B58</f>
        <v>1202.6616550647525</v>
      </c>
      <c r="M260" s="51"/>
    </row>
    <row r="261" spans="1:14" ht="15.6" customHeight="1">
      <c r="A261" s="48">
        <v>46266</v>
      </c>
      <c r="B261" s="112">
        <v>110.64427292102806</v>
      </c>
      <c r="C261" s="111">
        <f>'IGP-DI'!B59</f>
        <v>1206.540831464338</v>
      </c>
      <c r="M261" s="51"/>
    </row>
    <row r="262" spans="1:14" ht="15.6" customHeight="1">
      <c r="A262" s="48">
        <v>46296</v>
      </c>
      <c r="B262" s="112">
        <v>108.69778575630502</v>
      </c>
      <c r="C262" s="111">
        <f>'IGP-DI'!B60</f>
        <v>1210.4325201191166</v>
      </c>
      <c r="M262" s="51"/>
    </row>
    <row r="263" spans="1:14" ht="15.6" customHeight="1">
      <c r="A263" s="48">
        <v>46327</v>
      </c>
      <c r="B263" s="112">
        <v>113.44430369929556</v>
      </c>
      <c r="C263" s="111">
        <f>'IGP-DI'!B61</f>
        <v>1214.3367613872763</v>
      </c>
      <c r="M263" s="51"/>
    </row>
    <row r="264" spans="1:14" ht="15.6" customHeight="1">
      <c r="A264" s="48">
        <v>46357</v>
      </c>
      <c r="B264" s="112">
        <v>113.4682208424389</v>
      </c>
      <c r="C264" s="111">
        <f>'IGP-DI'!B62</f>
        <v>1218.2535957571797</v>
      </c>
      <c r="M264" s="51"/>
    </row>
    <row r="265" spans="1:14" ht="15.95" customHeight="1">
      <c r="A265" s="48"/>
      <c r="M265" s="51"/>
    </row>
    <row r="266" spans="1:14" ht="15.95" customHeight="1">
      <c r="M266" s="51"/>
    </row>
    <row r="267" spans="1:14">
      <c r="A267" s="56"/>
      <c r="B267" s="57" t="s">
        <v>12</v>
      </c>
      <c r="C267" s="57" t="s">
        <v>32</v>
      </c>
      <c r="M267" s="51"/>
      <c r="N267" s="46">
        <v>104.8452854630797</v>
      </c>
    </row>
    <row r="268" spans="1:14">
      <c r="A268" s="52">
        <v>2024</v>
      </c>
      <c r="B268" s="58">
        <f>AVERAGE(B229:B240)/AVERAGE(B217:B228)-1</f>
        <v>3.7908935682160472E-2</v>
      </c>
      <c r="C268" s="58">
        <f>C240/C228-1</f>
        <v>6.8623416046985186E-2</v>
      </c>
      <c r="I268" s="54"/>
      <c r="K268" s="54"/>
      <c r="M268" s="51"/>
      <c r="N268" s="46">
        <v>107.42143408147395</v>
      </c>
    </row>
    <row r="269" spans="1:14">
      <c r="A269" s="52">
        <v>2025</v>
      </c>
      <c r="B269" s="58">
        <f>AVERAGE(B241:B252)/AVERAGE(B229:B240)-1</f>
        <v>2.5846985783484211E-2</v>
      </c>
      <c r="C269" s="58">
        <f>C252/C240-1</f>
        <v>-7.9540750985900299E-3</v>
      </c>
      <c r="M269" s="51"/>
      <c r="N269" s="46">
        <v>116.57575155544636</v>
      </c>
    </row>
    <row r="270" spans="1:14">
      <c r="A270" s="52">
        <v>2026</v>
      </c>
      <c r="B270" s="58">
        <f>AVERAGE(B253:B264)/AVERAGE(B241:B252)-1</f>
        <v>1.8599908626798722E-2</v>
      </c>
      <c r="C270" s="58">
        <f>C264/C252-1</f>
        <v>3.9456656305986826E-2</v>
      </c>
      <c r="M270" s="51"/>
      <c r="N270" s="46">
        <v>112.93119775714344</v>
      </c>
    </row>
    <row r="271" spans="1:14">
      <c r="A271" s="48"/>
      <c r="B271" s="59"/>
      <c r="C271" s="60"/>
      <c r="I271" s="61"/>
      <c r="M271" s="51"/>
      <c r="N271" s="46">
        <v>109.49528347114639</v>
      </c>
    </row>
    <row r="272" spans="1:14">
      <c r="A272" s="75" t="s">
        <v>45</v>
      </c>
      <c r="B272" s="74">
        <f ca="1">TODAY()</f>
        <v>46028</v>
      </c>
      <c r="C272" s="60"/>
      <c r="I272" s="61"/>
      <c r="M272" s="51"/>
      <c r="N272" s="46">
        <v>110.36743017771018</v>
      </c>
    </row>
    <row r="273" spans="1:14">
      <c r="A273" s="48"/>
      <c r="B273" s="59"/>
      <c r="C273" s="60"/>
      <c r="I273" s="61"/>
      <c r="M273" s="51"/>
      <c r="N273" s="46">
        <v>116.97938329318286</v>
      </c>
    </row>
    <row r="274" spans="1:14">
      <c r="A274" s="48"/>
      <c r="B274" s="59"/>
      <c r="C274" s="60"/>
      <c r="I274" s="61"/>
      <c r="M274" s="51"/>
      <c r="N274" s="46">
        <v>111.40623846578903</v>
      </c>
    </row>
    <row r="275" spans="1:14">
      <c r="A275" s="48"/>
      <c r="B275" s="59"/>
      <c r="C275" s="60"/>
      <c r="I275" s="61"/>
      <c r="M275" s="51"/>
      <c r="N275" s="46">
        <v>110.64427292102806</v>
      </c>
    </row>
    <row r="276" spans="1:14">
      <c r="A276" s="48"/>
      <c r="B276" s="59"/>
      <c r="C276" s="60"/>
      <c r="I276" s="61"/>
      <c r="M276" s="51"/>
      <c r="N276" s="46">
        <v>108.69778575630502</v>
      </c>
    </row>
    <row r="277" spans="1:14">
      <c r="A277" s="48"/>
      <c r="B277" s="59"/>
      <c r="C277" s="60"/>
      <c r="I277" s="61"/>
      <c r="M277" s="51"/>
      <c r="N277" s="46">
        <v>113.44430369929556</v>
      </c>
    </row>
    <row r="278" spans="1:14">
      <c r="A278" s="48"/>
      <c r="B278" s="59"/>
      <c r="C278" s="60"/>
      <c r="I278" s="61"/>
      <c r="M278" s="51"/>
      <c r="N278" s="46">
        <v>113.4682208424389</v>
      </c>
    </row>
    <row r="279" spans="1:14">
      <c r="A279" s="48"/>
      <c r="B279" s="59"/>
      <c r="C279" s="60"/>
      <c r="I279" s="61"/>
      <c r="M279" s="51"/>
    </row>
    <row r="280" spans="1:14">
      <c r="A280" s="48"/>
      <c r="B280" s="59"/>
      <c r="C280" s="60"/>
      <c r="I280" s="61"/>
      <c r="M280" s="51"/>
    </row>
    <row r="281" spans="1:14">
      <c r="A281" s="48"/>
      <c r="B281" s="59"/>
      <c r="C281" s="60"/>
      <c r="I281" s="61"/>
      <c r="M281" s="51"/>
    </row>
    <row r="282" spans="1:14">
      <c r="A282" s="48"/>
      <c r="B282" s="59"/>
      <c r="C282" s="60"/>
      <c r="I282" s="61"/>
      <c r="M282" s="51"/>
    </row>
    <row r="283" spans="1:14">
      <c r="B283" s="59"/>
      <c r="M283" s="51"/>
    </row>
    <row r="284" spans="1:14">
      <c r="B284" s="59"/>
      <c r="M284" s="51"/>
    </row>
    <row r="285" spans="1:14">
      <c r="B285" s="59"/>
      <c r="M285" s="51"/>
    </row>
    <row r="286" spans="1:14">
      <c r="B286" s="59"/>
      <c r="M286" s="51"/>
    </row>
    <row r="287" spans="1:14">
      <c r="B287" s="59"/>
      <c r="M287" s="51"/>
    </row>
    <row r="288" spans="1:14">
      <c r="B288" s="59"/>
      <c r="M288" s="51"/>
    </row>
    <row r="289" spans="2:13">
      <c r="B289" s="59"/>
      <c r="M289" s="51"/>
    </row>
    <row r="290" spans="2:13">
      <c r="B290" s="59"/>
      <c r="M290" s="51"/>
    </row>
    <row r="291" spans="2:13">
      <c r="B291" s="59"/>
      <c r="M291" s="51"/>
    </row>
    <row r="292" spans="2:13">
      <c r="B292" s="59"/>
      <c r="M292" s="51"/>
    </row>
    <row r="293" spans="2:13">
      <c r="B293" s="59"/>
      <c r="M293" s="51"/>
    </row>
    <row r="294" spans="2:13">
      <c r="B294" s="59"/>
      <c r="M294" s="51"/>
    </row>
    <row r="295" spans="2:13">
      <c r="B295" s="59"/>
      <c r="M295" s="51"/>
    </row>
    <row r="296" spans="2:13">
      <c r="B296" s="59"/>
      <c r="M296" s="51"/>
    </row>
    <row r="297" spans="2:13">
      <c r="B297" s="59"/>
      <c r="M297" s="51"/>
    </row>
    <row r="298" spans="2:13">
      <c r="B298" s="59"/>
      <c r="M298" s="51"/>
    </row>
    <row r="299" spans="2:13">
      <c r="B299" s="59"/>
      <c r="M299" s="51"/>
    </row>
    <row r="300" spans="2:13">
      <c r="B300" s="59"/>
      <c r="M300" s="51"/>
    </row>
    <row r="301" spans="2:13">
      <c r="B301" s="59"/>
      <c r="M301" s="51"/>
    </row>
    <row r="302" spans="2:13">
      <c r="B302" s="59"/>
      <c r="M302" s="51"/>
    </row>
    <row r="303" spans="2:13">
      <c r="B303" s="59"/>
      <c r="M303" s="51"/>
    </row>
    <row r="304" spans="2:13">
      <c r="B304" s="59"/>
      <c r="M304" s="51"/>
    </row>
    <row r="305" spans="2:13">
      <c r="B305" s="59"/>
      <c r="M305" s="51"/>
    </row>
    <row r="306" spans="2:13">
      <c r="B306" s="59"/>
      <c r="M306" s="51"/>
    </row>
    <row r="307" spans="2:13">
      <c r="B307" s="59"/>
      <c r="M307" s="51"/>
    </row>
    <row r="308" spans="2:13">
      <c r="B308" s="59"/>
      <c r="M308" s="51"/>
    </row>
    <row r="309" spans="2:13">
      <c r="B309" s="59"/>
      <c r="M309" s="51"/>
    </row>
    <row r="310" spans="2:13">
      <c r="B310" s="59"/>
      <c r="M310" s="51"/>
    </row>
    <row r="311" spans="2:13">
      <c r="B311" s="59"/>
      <c r="M311" s="51"/>
    </row>
    <row r="312" spans="2:13">
      <c r="B312" s="59"/>
      <c r="M312" s="51"/>
    </row>
    <row r="313" spans="2:13">
      <c r="B313" s="59"/>
      <c r="M313" s="51"/>
    </row>
    <row r="314" spans="2:13">
      <c r="B314" s="59"/>
      <c r="M314" s="51"/>
    </row>
    <row r="315" spans="2:13">
      <c r="B315" s="59"/>
      <c r="M315" s="51"/>
    </row>
    <row r="316" spans="2:13">
      <c r="B316" s="59"/>
      <c r="M316" s="51"/>
    </row>
    <row r="317" spans="2:13">
      <c r="B317" s="59"/>
      <c r="M317" s="51"/>
    </row>
    <row r="318" spans="2:13">
      <c r="B318" s="59"/>
      <c r="M318" s="51"/>
    </row>
    <row r="319" spans="2:13">
      <c r="B319" s="59"/>
      <c r="M319" s="51"/>
    </row>
    <row r="320" spans="2:13">
      <c r="B320" s="59"/>
      <c r="M320" s="51"/>
    </row>
    <row r="321" spans="2:13">
      <c r="B321" s="59"/>
      <c r="M321" s="51"/>
    </row>
    <row r="322" spans="2:13">
      <c r="B322" s="59"/>
    </row>
    <row r="323" spans="2:13">
      <c r="B323" s="59"/>
    </row>
    <row r="324" spans="2:13">
      <c r="B324" s="59"/>
    </row>
    <row r="325" spans="2:13">
      <c r="B325" s="59"/>
    </row>
    <row r="326" spans="2:13">
      <c r="B326" s="59"/>
    </row>
    <row r="327" spans="2:13">
      <c r="B327" s="59"/>
    </row>
    <row r="328" spans="2:13">
      <c r="B328" s="59"/>
    </row>
    <row r="329" spans="2:13">
      <c r="B329" s="59"/>
    </row>
    <row r="330" spans="2:13">
      <c r="B330" s="59"/>
    </row>
    <row r="331" spans="2:13">
      <c r="B331" s="59"/>
    </row>
    <row r="332" spans="2:13">
      <c r="B332" s="59"/>
    </row>
    <row r="333" spans="2:13">
      <c r="B333" s="59"/>
    </row>
    <row r="334" spans="2:13">
      <c r="B334" s="59"/>
    </row>
    <row r="335" spans="2:13">
      <c r="B335" s="59"/>
    </row>
    <row r="336" spans="2:13">
      <c r="B336" s="59"/>
    </row>
    <row r="337" spans="2:2">
      <c r="B337" s="59"/>
    </row>
    <row r="338" spans="2:2">
      <c r="B338" s="59"/>
    </row>
    <row r="339" spans="2:2">
      <c r="B339" s="59"/>
    </row>
    <row r="340" spans="2:2">
      <c r="B340" s="59"/>
    </row>
    <row r="341" spans="2:2">
      <c r="B341" s="59"/>
    </row>
    <row r="342" spans="2:2">
      <c r="B342" s="59"/>
    </row>
    <row r="343" spans="2:2">
      <c r="B343" s="59"/>
    </row>
    <row r="344" spans="2:2">
      <c r="B344" s="59"/>
    </row>
    <row r="345" spans="2:2">
      <c r="B345" s="59"/>
    </row>
    <row r="346" spans="2:2">
      <c r="B346" s="59"/>
    </row>
    <row r="347" spans="2:2">
      <c r="B347" s="59"/>
    </row>
    <row r="348" spans="2:2">
      <c r="B348" s="59"/>
    </row>
    <row r="349" spans="2:2">
      <c r="B349" s="59"/>
    </row>
    <row r="350" spans="2:2">
      <c r="B350" s="59"/>
    </row>
    <row r="351" spans="2:2">
      <c r="B351" s="59"/>
    </row>
    <row r="352" spans="2:2">
      <c r="B352" s="59"/>
    </row>
    <row r="353" spans="2:2">
      <c r="B353" s="59"/>
    </row>
    <row r="354" spans="2:2">
      <c r="B354" s="59"/>
    </row>
    <row r="355" spans="2:2">
      <c r="B355" s="59"/>
    </row>
    <row r="356" spans="2:2">
      <c r="B356" s="59"/>
    </row>
    <row r="357" spans="2:2">
      <c r="B357" s="59"/>
    </row>
    <row r="358" spans="2:2">
      <c r="B358" s="59"/>
    </row>
    <row r="359" spans="2:2">
      <c r="B359" s="59"/>
    </row>
    <row r="360" spans="2:2">
      <c r="B360" s="59"/>
    </row>
    <row r="361" spans="2:2">
      <c r="B361" s="59"/>
    </row>
    <row r="362" spans="2:2">
      <c r="B362" s="59"/>
    </row>
    <row r="363" spans="2:2">
      <c r="B363" s="59"/>
    </row>
    <row r="364" spans="2:2">
      <c r="B364" s="59"/>
    </row>
    <row r="365" spans="2:2">
      <c r="B365" s="59"/>
    </row>
    <row r="366" spans="2:2">
      <c r="B366" s="59"/>
    </row>
    <row r="367" spans="2:2">
      <c r="B367" s="59"/>
    </row>
    <row r="368" spans="2:2">
      <c r="B368" s="59"/>
    </row>
    <row r="369" spans="2:2">
      <c r="B369" s="59"/>
    </row>
    <row r="370" spans="2:2">
      <c r="B370" s="59"/>
    </row>
    <row r="371" spans="2:2">
      <c r="B371" s="59"/>
    </row>
    <row r="372" spans="2:2">
      <c r="B372" s="59"/>
    </row>
    <row r="373" spans="2:2">
      <c r="B373" s="59"/>
    </row>
    <row r="374" spans="2:2">
      <c r="B374" s="59"/>
    </row>
    <row r="375" spans="2:2">
      <c r="B375" s="59"/>
    </row>
    <row r="376" spans="2:2">
      <c r="B376" s="59"/>
    </row>
    <row r="377" spans="2:2">
      <c r="B377" s="59"/>
    </row>
    <row r="378" spans="2:2">
      <c r="B378" s="59"/>
    </row>
    <row r="379" spans="2:2">
      <c r="B379" s="59"/>
    </row>
    <row r="380" spans="2:2">
      <c r="B380" s="59"/>
    </row>
    <row r="381" spans="2:2">
      <c r="B381" s="59"/>
    </row>
    <row r="382" spans="2:2">
      <c r="B382" s="59"/>
    </row>
    <row r="383" spans="2:2">
      <c r="B383" s="59"/>
    </row>
    <row r="384" spans="2:2">
      <c r="B384" s="59"/>
    </row>
    <row r="385" spans="2:2">
      <c r="B385" s="59"/>
    </row>
    <row r="386" spans="2:2">
      <c r="B386" s="59"/>
    </row>
    <row r="387" spans="2:2">
      <c r="B387" s="59"/>
    </row>
    <row r="388" spans="2:2">
      <c r="B388" s="59"/>
    </row>
    <row r="389" spans="2:2">
      <c r="B389" s="59"/>
    </row>
    <row r="390" spans="2:2">
      <c r="B390" s="59"/>
    </row>
    <row r="391" spans="2:2">
      <c r="B391" s="59"/>
    </row>
    <row r="392" spans="2:2">
      <c r="B392" s="59"/>
    </row>
    <row r="393" spans="2:2">
      <c r="B393" s="59"/>
    </row>
    <row r="394" spans="2:2">
      <c r="B394" s="59"/>
    </row>
    <row r="395" spans="2:2">
      <c r="B395" s="59"/>
    </row>
    <row r="396" spans="2:2">
      <c r="B396" s="59"/>
    </row>
    <row r="397" spans="2:2">
      <c r="B397" s="59"/>
    </row>
    <row r="398" spans="2:2">
      <c r="B398" s="59"/>
    </row>
    <row r="399" spans="2:2">
      <c r="B399" s="59"/>
    </row>
    <row r="400" spans="2:2">
      <c r="B400" s="59"/>
    </row>
  </sheetData>
  <pageMargins left="0.511811024" right="0.511811024" top="0.78740157499999996" bottom="0.78740157499999996" header="0.31496062000000002" footer="0.31496062000000002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CB071-015E-486A-9107-428EEC834E33}">
  <dimension ref="B1:AE54"/>
  <sheetViews>
    <sheetView zoomScale="85" zoomScaleNormal="85" workbookViewId="0">
      <selection activeCell="C54" sqref="C54:N54"/>
    </sheetView>
  </sheetViews>
  <sheetFormatPr defaultColWidth="11.42578125" defaultRowHeight="12.75"/>
  <cols>
    <col min="1" max="1" width="2.85546875" style="1" customWidth="1"/>
    <col min="2" max="2" width="27.85546875" style="1" bestFit="1" customWidth="1"/>
    <col min="3" max="4" width="10" style="1" bestFit="1" customWidth="1"/>
    <col min="5" max="5" width="9.140625" style="1" customWidth="1"/>
    <col min="6" max="6" width="10.42578125" style="1" bestFit="1" customWidth="1"/>
    <col min="7" max="7" width="10.42578125" style="1" customWidth="1"/>
    <col min="8" max="8" width="9.42578125" style="1" customWidth="1"/>
    <col min="9" max="9" width="8.42578125" style="1" customWidth="1"/>
    <col min="10" max="10" width="9.140625" style="1" customWidth="1"/>
    <col min="11" max="11" width="8.5703125" style="1" customWidth="1"/>
    <col min="12" max="13" width="8.42578125" style="1" customWidth="1"/>
    <col min="14" max="14" width="12" style="1" bestFit="1" customWidth="1"/>
    <col min="15" max="15" width="10.85546875" style="4" customWidth="1"/>
    <col min="16" max="16384" width="11.42578125" style="1"/>
  </cols>
  <sheetData>
    <row r="1" spans="2:31">
      <c r="B1" s="1" t="s">
        <v>57</v>
      </c>
      <c r="C1" s="110">
        <v>46024</v>
      </c>
    </row>
    <row r="2" spans="2:31">
      <c r="V2" s="1">
        <v>151.36000000000001</v>
      </c>
      <c r="W2" s="1">
        <v>144.9</v>
      </c>
      <c r="X2" s="1">
        <v>145</v>
      </c>
      <c r="Y2" s="1">
        <v>144.28</v>
      </c>
      <c r="Z2" s="1">
        <v>144.15</v>
      </c>
      <c r="AA2" s="1">
        <v>140.88999999999999</v>
      </c>
      <c r="AB2" s="1">
        <v>145.13999999999999</v>
      </c>
      <c r="AC2" s="1">
        <v>155.83000000000001</v>
      </c>
      <c r="AD2" s="1">
        <v>155.19999999999999</v>
      </c>
      <c r="AE2" s="1">
        <v>148.86000000000001</v>
      </c>
    </row>
    <row r="3" spans="2:31" ht="13.5" thickBot="1">
      <c r="B3" s="4"/>
      <c r="C3" s="4" t="s">
        <v>2</v>
      </c>
      <c r="D3" s="4" t="s">
        <v>13</v>
      </c>
      <c r="E3" s="4" t="s">
        <v>3</v>
      </c>
      <c r="F3" s="4" t="s">
        <v>14</v>
      </c>
      <c r="G3" s="4" t="s">
        <v>15</v>
      </c>
      <c r="H3" s="4" t="s">
        <v>4</v>
      </c>
      <c r="I3" s="4" t="s">
        <v>5</v>
      </c>
      <c r="J3" s="4" t="s">
        <v>16</v>
      </c>
      <c r="K3" s="4" t="s">
        <v>17</v>
      </c>
      <c r="L3" s="4" t="s">
        <v>18</v>
      </c>
      <c r="M3" s="4" t="s">
        <v>6</v>
      </c>
      <c r="N3" s="4" t="s">
        <v>19</v>
      </c>
      <c r="O3" s="4" t="s">
        <v>7</v>
      </c>
      <c r="Q3" s="7"/>
    </row>
    <row r="4" spans="2:31" ht="13.5" thickBot="1">
      <c r="B4" s="63" t="s">
        <v>49</v>
      </c>
      <c r="C4">
        <v>95.340450000000004</v>
      </c>
      <c r="D4">
        <v>98.664320000000004</v>
      </c>
      <c r="E4">
        <v>110.74890000000001</v>
      </c>
      <c r="F4">
        <v>103.93825</v>
      </c>
      <c r="G4">
        <v>102.77755000000001</v>
      </c>
      <c r="H4">
        <v>102.18912</v>
      </c>
      <c r="I4">
        <v>105.39606999999999</v>
      </c>
      <c r="J4">
        <v>106.08707</v>
      </c>
      <c r="K4">
        <v>101.78180999999999</v>
      </c>
      <c r="L4">
        <v>101.95461</v>
      </c>
      <c r="M4">
        <v>101.62017</v>
      </c>
      <c r="N4">
        <v>101.61385</v>
      </c>
      <c r="O4" s="64">
        <f>SUM(C4:N4)</f>
        <v>1232.1121699999999</v>
      </c>
      <c r="Q4" s="7"/>
    </row>
    <row r="5" spans="2:31" ht="15" customHeight="1">
      <c r="B5" s="24" t="s">
        <v>28</v>
      </c>
      <c r="C5" s="30">
        <v>132.27000000000001</v>
      </c>
      <c r="D5" s="30">
        <v>135.52000000000001</v>
      </c>
      <c r="E5" s="30">
        <v>147.06884138980877</v>
      </c>
      <c r="F5" s="30">
        <v>141.48447949104434</v>
      </c>
      <c r="G5" s="30">
        <v>137.17983600912939</v>
      </c>
      <c r="H5" s="30">
        <v>138.27249441768859</v>
      </c>
      <c r="I5" s="30">
        <v>147.50806870574451</v>
      </c>
      <c r="J5" s="30">
        <v>140.48047284258371</v>
      </c>
      <c r="K5" s="30">
        <v>139.5196533993292</v>
      </c>
      <c r="L5" s="30">
        <v>140.86205099624749</v>
      </c>
      <c r="M5" s="30">
        <v>147.01308938114261</v>
      </c>
      <c r="N5" s="30">
        <v>147.0440837368574</v>
      </c>
      <c r="O5" s="29">
        <f>SUM(C5:N5)</f>
        <v>1694.2230703695759</v>
      </c>
      <c r="Q5" s="7"/>
    </row>
    <row r="6" spans="2:31">
      <c r="B6" s="27" t="s">
        <v>29</v>
      </c>
      <c r="C6" s="31">
        <v>132.27000000000001</v>
      </c>
      <c r="D6" s="31">
        <v>135.52000000000001</v>
      </c>
      <c r="E6" s="31">
        <v>147.06884138980877</v>
      </c>
      <c r="F6" s="31">
        <v>141.48447949104434</v>
      </c>
      <c r="G6" s="31">
        <v>137.078834298727</v>
      </c>
      <c r="H6" s="31">
        <v>138.45685122497599</v>
      </c>
      <c r="I6" s="31">
        <v>148.871325055932</v>
      </c>
      <c r="J6" s="31">
        <v>141.839709544946</v>
      </c>
      <c r="K6" s="31">
        <v>144.824219978005</v>
      </c>
      <c r="L6" s="31">
        <v>143.027499157232</v>
      </c>
      <c r="M6" s="31">
        <v>147.27760320469201</v>
      </c>
      <c r="N6" s="31">
        <v>148.99902291288001</v>
      </c>
      <c r="O6" s="28">
        <f>SUM(C6:N6)</f>
        <v>1706.7183862582433</v>
      </c>
      <c r="Q6" s="7"/>
    </row>
    <row r="7" spans="2:31">
      <c r="Q7" s="7"/>
    </row>
    <row r="8" spans="2:31" ht="15">
      <c r="B8" s="9" t="s">
        <v>31</v>
      </c>
      <c r="C8" s="12">
        <f>C5/SUM(C5:E5)</f>
        <v>0.31883133924996132</v>
      </c>
      <c r="D8" s="12">
        <f>D5/SUM(C5:E5)</f>
        <v>0.32666532921414343</v>
      </c>
      <c r="E8" s="12">
        <f>E5/SUM(C5:E5)</f>
        <v>0.35450333153589525</v>
      </c>
      <c r="F8" s="12">
        <f>F5/SUM(F5:H5)</f>
        <v>0.33934274001596826</v>
      </c>
      <c r="G8" s="12">
        <f>G5/SUM(F5:H5)</f>
        <v>0.329018289452913</v>
      </c>
      <c r="H8" s="12">
        <f>H5/SUM(F5:H5)</f>
        <v>0.33163897053111874</v>
      </c>
      <c r="I8" s="12">
        <f>I5/SUM(I5:K5)</f>
        <v>0.34504149966950892</v>
      </c>
      <c r="J8" s="12">
        <f>J5/SUM(I5:K5)</f>
        <v>0.32860299405437976</v>
      </c>
      <c r="K8" s="12">
        <f>K5/SUM(I5:K5)</f>
        <v>0.32635550627611121</v>
      </c>
      <c r="L8" s="12">
        <f>L5/SUM(L5:N5)</f>
        <v>0.32388094888913188</v>
      </c>
      <c r="M8" s="12">
        <f>M5/SUM(L5:N5)</f>
        <v>0.33802389324258569</v>
      </c>
      <c r="N8" s="12">
        <f>N5/SUM(L5:N5)</f>
        <v>0.33809515786828237</v>
      </c>
      <c r="O8" s="88"/>
      <c r="Q8" s="7"/>
    </row>
    <row r="9" spans="2:31" ht="15">
      <c r="B9" s="9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88"/>
      <c r="Q9" s="7"/>
    </row>
    <row r="10" spans="2:31">
      <c r="B10" s="9" t="s">
        <v>33</v>
      </c>
      <c r="C10" s="12">
        <f>C4/SUM(C4:E4)</f>
        <v>0.31284430471337721</v>
      </c>
      <c r="D10" s="12">
        <f>D4/SUM(C4:E4)</f>
        <v>0.32375104785448522</v>
      </c>
      <c r="E10" s="12">
        <f>E4/SUM(C4:E4)</f>
        <v>0.36340464743213757</v>
      </c>
      <c r="F10" s="12">
        <f>F4/SUM(F4:H4)</f>
        <v>0.33647327468918264</v>
      </c>
      <c r="G10" s="12">
        <f>G4/SUM(F4:H4)</f>
        <v>0.33271580782850596</v>
      </c>
      <c r="H10" s="12">
        <f>H4/SUM(F4:H4)</f>
        <v>0.3308109174823114</v>
      </c>
      <c r="I10" s="12">
        <f>I4/SUM(I4:K4)</f>
        <v>0.33644386325377285</v>
      </c>
      <c r="J10" s="12">
        <f>J4/SUM(I4:K4)</f>
        <v>0.33864966380694678</v>
      </c>
      <c r="K10" s="12">
        <f>K4/SUM(I4:K4)</f>
        <v>0.32490647293928027</v>
      </c>
      <c r="L10" s="12">
        <f>L4/SUM($L$4:$N$4)</f>
        <v>0.33407080073723588</v>
      </c>
      <c r="M10" s="12">
        <f>M4/SUM($L$4:$N$4)</f>
        <v>0.33297495388343923</v>
      </c>
      <c r="N10" s="12">
        <f>N4/SUM($L$4:$N$4)</f>
        <v>0.33295424537932494</v>
      </c>
      <c r="O10" s="25"/>
      <c r="Q10" s="7"/>
    </row>
    <row r="11" spans="2:31" ht="15.75">
      <c r="B11" s="15" t="s">
        <v>39</v>
      </c>
      <c r="C11" s="14"/>
      <c r="I11" s="10"/>
      <c r="J11" s="8"/>
      <c r="K11" s="11"/>
      <c r="L11" s="8"/>
      <c r="Q11" s="7"/>
    </row>
    <row r="12" spans="2:31" ht="7.5" customHeight="1">
      <c r="G12" s="2"/>
      <c r="I12" s="10"/>
      <c r="J12" s="8"/>
      <c r="K12" s="11"/>
      <c r="L12" s="8"/>
      <c r="Q12" s="7"/>
    </row>
    <row r="13" spans="2:31">
      <c r="B13" s="3"/>
      <c r="C13" s="3" t="s">
        <v>8</v>
      </c>
      <c r="D13" s="3" t="s">
        <v>9</v>
      </c>
      <c r="E13" s="3" t="s">
        <v>10</v>
      </c>
      <c r="F13" s="3" t="s">
        <v>11</v>
      </c>
      <c r="G13" s="3" t="s">
        <v>7</v>
      </c>
      <c r="H13" s="4" t="s">
        <v>30</v>
      </c>
      <c r="I13" s="10"/>
      <c r="J13" s="8"/>
      <c r="K13" s="11"/>
      <c r="L13" s="8"/>
      <c r="Q13" s="7"/>
    </row>
    <row r="14" spans="2:31">
      <c r="B14" s="1" t="s">
        <v>40</v>
      </c>
      <c r="C14" s="5">
        <f>C15/SUM(C4:E4)-1</f>
        <v>2.1507599892070184E-2</v>
      </c>
      <c r="D14" s="5">
        <f>D15/SUM(F4:H4)-1</f>
        <v>3.5026861987177194E-2</v>
      </c>
      <c r="E14" s="5">
        <f>E15/SUM(I4:K4)-1</f>
        <v>4.9550867404732024E-2</v>
      </c>
      <c r="F14" s="5">
        <f>F15/SUM(L4:N4)-1</f>
        <v>4.4216489978673224E-2</v>
      </c>
      <c r="G14" s="93">
        <v>3.4944000000000003E-2</v>
      </c>
      <c r="H14" s="72">
        <v>1278.5023000000001</v>
      </c>
      <c r="I14" s="33"/>
      <c r="J14" s="36"/>
      <c r="K14" s="33"/>
      <c r="L14" s="33"/>
      <c r="M14" s="34"/>
      <c r="O14" s="1"/>
      <c r="Q14" s="7"/>
    </row>
    <row r="15" spans="2:31" ht="15">
      <c r="C15" s="35">
        <f>SUM(C19:E19)</f>
        <v>311.30818999999997</v>
      </c>
      <c r="D15" s="35">
        <f>SUM(F19:H19)</f>
        <v>319.72489000000002</v>
      </c>
      <c r="E15" s="35">
        <f>SUM(I19:K19)</f>
        <v>328.78750000000002</v>
      </c>
      <c r="F15" s="35">
        <f>SUM(L19:N19)</f>
        <v>318.68299999999999</v>
      </c>
      <c r="G15" s="17">
        <f>SUM(C15:F15)</f>
        <v>1278.5035800000001</v>
      </c>
      <c r="H15" s="89"/>
      <c r="I15" s="10"/>
      <c r="J15" s="80"/>
      <c r="K15" s="80"/>
      <c r="L15" s="80"/>
      <c r="M15" s="80"/>
      <c r="N15" s="80"/>
      <c r="O15" s="85"/>
      <c r="Q15" s="7"/>
    </row>
    <row r="16" spans="2:31"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71"/>
      <c r="Q16" s="7"/>
    </row>
    <row r="17" spans="2:17">
      <c r="C17" s="35"/>
      <c r="D17" s="5"/>
      <c r="E17" s="5"/>
      <c r="F17" s="35"/>
      <c r="G17" s="42"/>
      <c r="I17" s="35"/>
      <c r="J17" s="8"/>
      <c r="K17" s="11"/>
      <c r="L17" s="35"/>
      <c r="P17" s="70"/>
      <c r="Q17" s="7"/>
    </row>
    <row r="18" spans="2:17">
      <c r="C18" s="4" t="s">
        <v>2</v>
      </c>
      <c r="D18" s="4" t="s">
        <v>13</v>
      </c>
      <c r="E18" s="4" t="s">
        <v>3</v>
      </c>
      <c r="F18" s="4" t="s">
        <v>14</v>
      </c>
      <c r="G18" s="4" t="s">
        <v>15</v>
      </c>
      <c r="H18" s="4" t="s">
        <v>4</v>
      </c>
      <c r="I18" s="4" t="s">
        <v>5</v>
      </c>
      <c r="J18" s="4" t="s">
        <v>16</v>
      </c>
      <c r="K18" s="4" t="s">
        <v>17</v>
      </c>
      <c r="L18" s="4" t="s">
        <v>18</v>
      </c>
      <c r="M18" s="4" t="s">
        <v>6</v>
      </c>
      <c r="N18" s="4" t="s">
        <v>19</v>
      </c>
      <c r="O18" s="4" t="s">
        <v>7</v>
      </c>
      <c r="P18" s="70"/>
      <c r="Q18" s="7"/>
    </row>
    <row r="19" spans="2:17" ht="15">
      <c r="B19" s="1" t="s">
        <v>48</v>
      </c>
      <c r="C19">
        <v>99.346980000000002</v>
      </c>
      <c r="D19">
        <v>102.23245</v>
      </c>
      <c r="E19">
        <v>109.72875999999999</v>
      </c>
      <c r="F19">
        <v>109.27855</v>
      </c>
      <c r="G19">
        <v>104.68456</v>
      </c>
      <c r="H19">
        <v>105.76178</v>
      </c>
      <c r="I19">
        <v>111.60656</v>
      </c>
      <c r="J19">
        <v>110.09329</v>
      </c>
      <c r="K19">
        <v>107.08765</v>
      </c>
      <c r="L19">
        <v>109.19096999999999</v>
      </c>
      <c r="M19">
        <v>105.40349000000001</v>
      </c>
      <c r="N19">
        <v>104.08853999999999</v>
      </c>
      <c r="O19" s="26">
        <f>SUM(C19:N19)</f>
        <v>1278.5035800000001</v>
      </c>
      <c r="P19" s="81">
        <f>H14-O19</f>
        <v>-1.2799999999515421E-3</v>
      </c>
      <c r="Q19" s="7"/>
    </row>
    <row r="20" spans="2:17" ht="15">
      <c r="H20" s="80"/>
      <c r="I20" s="80"/>
      <c r="J20" s="80"/>
      <c r="K20" s="80"/>
      <c r="L20" s="80"/>
      <c r="M20" s="80"/>
      <c r="N20" s="80">
        <f>N19/SUM($N$19:$N$19)</f>
        <v>1</v>
      </c>
      <c r="O20" s="38"/>
      <c r="P20" s="18"/>
      <c r="Q20" s="7"/>
    </row>
    <row r="21" spans="2:17">
      <c r="B21" s="1" t="s">
        <v>34</v>
      </c>
      <c r="C21" s="32">
        <f>C19</f>
        <v>99.346980000000002</v>
      </c>
      <c r="D21" s="32">
        <f t="shared" ref="D21:H21" si="0">D19</f>
        <v>102.23245</v>
      </c>
      <c r="E21" s="32">
        <f t="shared" si="0"/>
        <v>109.72875999999999</v>
      </c>
      <c r="F21" s="32">
        <f t="shared" si="0"/>
        <v>109.27855</v>
      </c>
      <c r="G21" s="32">
        <f t="shared" si="0"/>
        <v>104.68456</v>
      </c>
      <c r="H21" s="32">
        <f t="shared" si="0"/>
        <v>105.76178</v>
      </c>
      <c r="I21" s="32">
        <f>I19</f>
        <v>111.60656</v>
      </c>
      <c r="J21" s="32">
        <f>J19</f>
        <v>110.09329</v>
      </c>
      <c r="K21" s="32">
        <f>K19</f>
        <v>107.08765</v>
      </c>
      <c r="L21" s="32">
        <f>L19</f>
        <v>109.19096999999999</v>
      </c>
      <c r="M21" s="32">
        <f>M19</f>
        <v>105.40349000000001</v>
      </c>
      <c r="N21" s="32">
        <f>N19+N20*$P$19</f>
        <v>104.08726000000004</v>
      </c>
      <c r="O21" s="26">
        <f>SUM(C21:N21)</f>
        <v>1278.5023000000001</v>
      </c>
      <c r="P21" s="17"/>
      <c r="Q21" s="7"/>
    </row>
    <row r="22" spans="2:17"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7"/>
    </row>
    <row r="23" spans="2:17"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17"/>
      <c r="P23" s="17"/>
      <c r="Q23" s="7"/>
    </row>
    <row r="24" spans="2:17">
      <c r="O24" s="38"/>
      <c r="Q24" s="7"/>
    </row>
    <row r="25" spans="2:17">
      <c r="Q25" s="7"/>
    </row>
    <row r="26" spans="2:17" ht="15.75">
      <c r="B26" s="15" t="s">
        <v>50</v>
      </c>
      <c r="C26" s="14"/>
      <c r="G26" s="71"/>
      <c r="I26" s="10"/>
      <c r="J26" s="8"/>
      <c r="K26" s="11"/>
      <c r="L26" s="8"/>
      <c r="M26" s="70"/>
    </row>
    <row r="27" spans="2:17" ht="15">
      <c r="C27" s="90"/>
      <c r="G27" s="2"/>
      <c r="I27" s="10"/>
      <c r="J27" s="8"/>
      <c r="K27" s="11"/>
      <c r="L27" s="8"/>
    </row>
    <row r="28" spans="2:17">
      <c r="B28" s="3"/>
      <c r="C28" s="3" t="s">
        <v>8</v>
      </c>
      <c r="D28" s="3" t="s">
        <v>9</v>
      </c>
      <c r="E28" s="3" t="s">
        <v>10</v>
      </c>
      <c r="F28" s="3" t="s">
        <v>11</v>
      </c>
      <c r="G28" s="3" t="s">
        <v>7</v>
      </c>
      <c r="H28" s="4" t="s">
        <v>30</v>
      </c>
      <c r="I28" s="10"/>
      <c r="J28" s="8"/>
      <c r="K28" s="11"/>
      <c r="L28" s="8"/>
    </row>
    <row r="29" spans="2:17">
      <c r="B29" s="1" t="s">
        <v>51</v>
      </c>
      <c r="C29" s="5">
        <f>C30/SUM(C19:E19)-1</f>
        <v>4.0406293197747356E-2</v>
      </c>
      <c r="D29" s="5">
        <f>D30/SUM(F19:H19)-1</f>
        <v>2.6707273243568919E-2</v>
      </c>
      <c r="E29" s="5">
        <f>E30/SUM(I19:K19)-1</f>
        <v>1.2919469262061334E-2</v>
      </c>
      <c r="F29" s="5">
        <f>F30/SUM(L19:N19)-1</f>
        <v>1.1068434714120334E-2</v>
      </c>
      <c r="G29" s="13">
        <v>2.2599999999999999E-2</v>
      </c>
      <c r="H29" s="94">
        <f>O21*(1+G29)</f>
        <v>1307.3964519799999</v>
      </c>
      <c r="I29" s="33"/>
      <c r="J29" s="79"/>
      <c r="K29" s="33"/>
      <c r="L29" s="33"/>
      <c r="M29" s="34"/>
      <c r="O29" s="1"/>
    </row>
    <row r="30" spans="2:17" ht="15">
      <c r="C30" s="35">
        <f>SUM(C33:E33)</f>
        <v>323.887</v>
      </c>
      <c r="D30" s="35">
        <f>SUM(F33:H33)</f>
        <v>328.26387</v>
      </c>
      <c r="E30" s="35">
        <f>SUM(I33:K33)</f>
        <v>333.03525999999999</v>
      </c>
      <c r="F30" s="35">
        <f>H29-SUM(C30:E30)</f>
        <v>322.21032198</v>
      </c>
      <c r="G30" s="35">
        <f>SUM(C30:F30)</f>
        <v>1307.3964519799999</v>
      </c>
      <c r="H30" s="89"/>
      <c r="I30" s="10"/>
      <c r="J30" s="66"/>
      <c r="K30" s="11"/>
      <c r="L30" s="8"/>
    </row>
    <row r="31" spans="2:17">
      <c r="C31" s="5"/>
      <c r="D31" s="35"/>
      <c r="E31" s="35"/>
      <c r="F31" s="35"/>
      <c r="G31" s="13"/>
      <c r="I31" s="10"/>
      <c r="J31" s="8"/>
      <c r="K31" s="11"/>
      <c r="L31" s="8"/>
    </row>
    <row r="32" spans="2:17">
      <c r="C32" s="4" t="s">
        <v>2</v>
      </c>
      <c r="D32" s="4" t="s">
        <v>13</v>
      </c>
      <c r="E32" s="4" t="s">
        <v>3</v>
      </c>
      <c r="F32" s="4" t="s">
        <v>14</v>
      </c>
      <c r="G32" s="4" t="s">
        <v>15</v>
      </c>
      <c r="H32" s="4" t="s">
        <v>4</v>
      </c>
      <c r="I32" s="4" t="s">
        <v>5</v>
      </c>
      <c r="J32" s="4" t="s">
        <v>16</v>
      </c>
      <c r="K32" s="4" t="s">
        <v>17</v>
      </c>
      <c r="L32" s="4" t="s">
        <v>18</v>
      </c>
      <c r="M32" s="4" t="s">
        <v>6</v>
      </c>
      <c r="N32" s="4" t="s">
        <v>19</v>
      </c>
      <c r="O32" s="4" t="s">
        <v>7</v>
      </c>
    </row>
    <row r="33" spans="2:16" ht="15">
      <c r="B33" s="1" t="s">
        <v>52</v>
      </c>
      <c r="C33">
        <v>102.8434</v>
      </c>
      <c r="D33">
        <v>106.89981</v>
      </c>
      <c r="E33">
        <v>114.14379</v>
      </c>
      <c r="F33">
        <v>112.54575</v>
      </c>
      <c r="G33">
        <v>108.51998</v>
      </c>
      <c r="H33">
        <v>107.19814</v>
      </c>
      <c r="I33">
        <v>113.16809000000001</v>
      </c>
      <c r="J33">
        <v>110.42518</v>
      </c>
      <c r="K33">
        <v>109.44199</v>
      </c>
      <c r="L33">
        <v>109.61024</v>
      </c>
      <c r="M33" s="26">
        <f t="shared" ref="M33:N33" si="1">$F$30*M8</f>
        <v>108.91478747862668</v>
      </c>
      <c r="N33" s="26">
        <f t="shared" si="1"/>
        <v>108.9377496766182</v>
      </c>
      <c r="O33" s="32">
        <f>SUM(C33:N33)</f>
        <v>1312.6489071552451</v>
      </c>
      <c r="P33" s="81">
        <f>H29-O33</f>
        <v>-5.2524551752451316</v>
      </c>
    </row>
    <row r="34" spans="2:16" ht="15">
      <c r="D34" s="66"/>
      <c r="E34" s="66"/>
      <c r="F34" s="76"/>
      <c r="G34" s="76"/>
      <c r="H34" s="76"/>
      <c r="I34" s="76"/>
      <c r="J34" s="76"/>
      <c r="K34" s="76"/>
      <c r="L34" s="76"/>
      <c r="M34" s="76"/>
      <c r="N34" s="76"/>
      <c r="O34" s="32"/>
    </row>
    <row r="35" spans="2:16">
      <c r="B35" s="1" t="s">
        <v>34</v>
      </c>
      <c r="C35" s="32">
        <f>C33</f>
        <v>102.8434</v>
      </c>
      <c r="D35" s="32">
        <f t="shared" ref="D35:H35" si="2">D33</f>
        <v>106.89981</v>
      </c>
      <c r="E35" s="32">
        <f t="shared" si="2"/>
        <v>114.14379</v>
      </c>
      <c r="F35" s="32">
        <f t="shared" si="2"/>
        <v>112.54575</v>
      </c>
      <c r="G35" s="32">
        <f t="shared" si="2"/>
        <v>108.51998</v>
      </c>
      <c r="H35" s="32">
        <f t="shared" si="2"/>
        <v>107.19814</v>
      </c>
      <c r="I35" s="32">
        <f>I33</f>
        <v>113.16809000000001</v>
      </c>
      <c r="J35" s="32">
        <f>J33</f>
        <v>110.42518</v>
      </c>
      <c r="K35" s="32">
        <f>K33</f>
        <v>109.44199</v>
      </c>
      <c r="L35" s="32">
        <f>L33</f>
        <v>109.61024</v>
      </c>
      <c r="M35" s="32">
        <f>M33</f>
        <v>108.91478747862668</v>
      </c>
      <c r="N35" s="32">
        <f>N33+N34*$P$33</f>
        <v>108.9377496766182</v>
      </c>
      <c r="O35" s="26">
        <f>SUM(C35:N35)</f>
        <v>1312.6489071552451</v>
      </c>
    </row>
    <row r="36" spans="2:16">
      <c r="I36" s="17"/>
      <c r="J36" s="17"/>
      <c r="K36" s="17"/>
      <c r="L36" s="17"/>
      <c r="M36" s="17"/>
      <c r="N36" s="17"/>
      <c r="O36" s="17"/>
    </row>
    <row r="37" spans="2:16">
      <c r="I37" s="17"/>
      <c r="J37" s="17"/>
      <c r="K37" s="17"/>
      <c r="L37" s="17"/>
      <c r="M37" s="17"/>
      <c r="N37" s="17"/>
      <c r="O37" s="17"/>
    </row>
    <row r="45" spans="2:16" ht="15.75">
      <c r="B45" s="15" t="s">
        <v>56</v>
      </c>
      <c r="C45" s="14"/>
      <c r="G45" s="71"/>
    </row>
    <row r="46" spans="2:16" ht="15">
      <c r="C46" s="90"/>
      <c r="G46" s="2"/>
    </row>
    <row r="47" spans="2:16">
      <c r="B47" s="3"/>
      <c r="C47" s="3" t="s">
        <v>8</v>
      </c>
      <c r="D47" s="3" t="s">
        <v>9</v>
      </c>
      <c r="E47" s="3" t="s">
        <v>10</v>
      </c>
      <c r="F47" s="3" t="s">
        <v>11</v>
      </c>
      <c r="G47" s="3" t="s">
        <v>7</v>
      </c>
      <c r="H47" s="4" t="s">
        <v>30</v>
      </c>
    </row>
    <row r="48" spans="2:16">
      <c r="B48" s="1" t="s">
        <v>58</v>
      </c>
      <c r="C48" s="5">
        <v>1.5299999999999999E-2</v>
      </c>
      <c r="D48" s="5">
        <v>1.38E-2</v>
      </c>
      <c r="E48" s="5">
        <v>1.7999999999999999E-2</v>
      </c>
      <c r="F48" s="5">
        <f>F49/SUM(L33:N33)-1</f>
        <v>2.4880791684399828E-2</v>
      </c>
      <c r="G48" s="13">
        <v>1.7999999999999999E-2</v>
      </c>
      <c r="H48" s="94">
        <f>O33*(1+G48)</f>
        <v>1336.2765874840395</v>
      </c>
    </row>
    <row r="49" spans="2:15" ht="15">
      <c r="C49" s="35">
        <f>C30*(1+C48)</f>
        <v>328.84247110000001</v>
      </c>
      <c r="D49" s="35">
        <f>D30*(1+D48)</f>
        <v>332.79391140600001</v>
      </c>
      <c r="E49" s="35">
        <f>E30*(1+E48)</f>
        <v>339.02989467999998</v>
      </c>
      <c r="F49" s="35">
        <f>H48-SUM(C49:E49)</f>
        <v>335.61031029803951</v>
      </c>
      <c r="G49" s="35">
        <f>SUM(C49:F49)</f>
        <v>1336.2765874840395</v>
      </c>
      <c r="H49" s="89"/>
    </row>
    <row r="51" spans="2:15">
      <c r="C51" s="4" t="s">
        <v>2</v>
      </c>
      <c r="D51" s="4" t="s">
        <v>13</v>
      </c>
      <c r="E51" s="4" t="s">
        <v>3</v>
      </c>
      <c r="F51" s="4" t="s">
        <v>14</v>
      </c>
      <c r="G51" s="4" t="s">
        <v>15</v>
      </c>
      <c r="H51" s="4" t="s">
        <v>4</v>
      </c>
      <c r="I51" s="4" t="s">
        <v>5</v>
      </c>
      <c r="J51" s="4" t="s">
        <v>16</v>
      </c>
      <c r="K51" s="4" t="s">
        <v>17</v>
      </c>
      <c r="L51" s="4" t="s">
        <v>18</v>
      </c>
      <c r="M51" s="4" t="s">
        <v>6</v>
      </c>
      <c r="N51" s="4" t="s">
        <v>19</v>
      </c>
      <c r="O51" s="4" t="s">
        <v>7</v>
      </c>
    </row>
    <row r="52" spans="2:15">
      <c r="B52" s="1" t="s">
        <v>52</v>
      </c>
      <c r="C52" s="26">
        <f>$C$49*C8</f>
        <v>104.8452854630797</v>
      </c>
      <c r="D52" s="26">
        <f t="shared" ref="D52:E52" si="3">$C$49*D8</f>
        <v>107.42143408147395</v>
      </c>
      <c r="E52" s="26">
        <f t="shared" si="3"/>
        <v>116.57575155544636</v>
      </c>
      <c r="F52" s="26">
        <f>$D$49*F8</f>
        <v>112.93119775714344</v>
      </c>
      <c r="G52" s="26">
        <f t="shared" ref="G52:H52" si="4">$D$49*G8</f>
        <v>109.49528347114639</v>
      </c>
      <c r="H52" s="26">
        <f t="shared" si="4"/>
        <v>110.36743017771018</v>
      </c>
      <c r="I52" s="26">
        <f>$E$49*I8</f>
        <v>116.97938329318286</v>
      </c>
      <c r="J52" s="26">
        <f t="shared" ref="J52:K52" si="5">$E$49*J8</f>
        <v>111.40623846578903</v>
      </c>
      <c r="K52" s="26">
        <f t="shared" si="5"/>
        <v>110.64427292102806</v>
      </c>
      <c r="L52" s="26">
        <f>$F$49*L8</f>
        <v>108.69778575630502</v>
      </c>
      <c r="M52" s="26">
        <f t="shared" ref="M52:N52" si="6">$F$49*M8</f>
        <v>113.44430369929556</v>
      </c>
      <c r="N52" s="26">
        <f t="shared" si="6"/>
        <v>113.4682208424389</v>
      </c>
      <c r="O52" s="32">
        <f>SUM(C52:N52)</f>
        <v>1336.2765874840393</v>
      </c>
    </row>
    <row r="53" spans="2:15" ht="15">
      <c r="D53" s="66"/>
      <c r="E53" s="66"/>
      <c r="F53" s="76"/>
      <c r="G53" s="76"/>
      <c r="H53" s="76"/>
      <c r="I53" s="76"/>
      <c r="J53" s="76"/>
      <c r="K53" s="76"/>
      <c r="L53" s="76"/>
      <c r="M53" s="76"/>
      <c r="N53" s="76"/>
      <c r="O53" s="32"/>
    </row>
    <row r="54" spans="2:15">
      <c r="B54" s="1" t="s">
        <v>34</v>
      </c>
      <c r="C54" s="32">
        <f>C52</f>
        <v>104.8452854630797</v>
      </c>
      <c r="D54" s="32">
        <f t="shared" ref="D54:H54" si="7">D52</f>
        <v>107.42143408147395</v>
      </c>
      <c r="E54" s="32">
        <f t="shared" si="7"/>
        <v>116.57575155544636</v>
      </c>
      <c r="F54" s="32">
        <f t="shared" si="7"/>
        <v>112.93119775714344</v>
      </c>
      <c r="G54" s="32">
        <f t="shared" si="7"/>
        <v>109.49528347114639</v>
      </c>
      <c r="H54" s="32">
        <f t="shared" si="7"/>
        <v>110.36743017771018</v>
      </c>
      <c r="I54" s="32">
        <f>I52</f>
        <v>116.97938329318286</v>
      </c>
      <c r="J54" s="32">
        <f>J52</f>
        <v>111.40623846578903</v>
      </c>
      <c r="K54" s="32">
        <f>K52</f>
        <v>110.64427292102806</v>
      </c>
      <c r="L54" s="32">
        <f>L52</f>
        <v>108.69778575630502</v>
      </c>
      <c r="M54" s="32">
        <f>M52</f>
        <v>113.44430369929556</v>
      </c>
      <c r="N54" s="32">
        <f>N52+N53*$P$33</f>
        <v>113.4682208424389</v>
      </c>
      <c r="O54" s="26">
        <f>SUM(C54:N54)</f>
        <v>1336.2765874840393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Roman,Regular"&amp;12Página &amp;P</oddFooter>
  </headerFooter>
  <ignoredErrors>
    <ignoredError sqref="C7:N7 O4 N8 D8:M8 C18:G1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2"/>
  <sheetViews>
    <sheetView topLeftCell="A28" workbookViewId="0">
      <selection activeCell="B51" sqref="B51:B62"/>
    </sheetView>
  </sheetViews>
  <sheetFormatPr defaultColWidth="9.140625" defaultRowHeight="15.75"/>
  <cols>
    <col min="1" max="1" width="8" style="19" bestFit="1" customWidth="1"/>
    <col min="2" max="2" width="10.42578125" style="19" bestFit="1" customWidth="1"/>
    <col min="3" max="7" width="9.140625" style="19"/>
    <col min="8" max="8" width="10.140625" style="19" bestFit="1" customWidth="1"/>
    <col min="9" max="11" width="9.140625" style="19"/>
    <col min="12" max="12" width="8.85546875" style="19" customWidth="1"/>
    <col min="13" max="13" width="7.85546875" style="19" customWidth="1"/>
    <col min="14" max="14" width="9.140625" style="19"/>
    <col min="15" max="15" width="9.5703125" style="19" bestFit="1" customWidth="1"/>
    <col min="16" max="16384" width="9.140625" style="19"/>
  </cols>
  <sheetData>
    <row r="1" spans="1:19">
      <c r="A1" s="19" t="s">
        <v>0</v>
      </c>
    </row>
    <row r="2" spans="1:19">
      <c r="A2" s="39">
        <v>44531</v>
      </c>
      <c r="B2" s="37">
        <v>1088.489</v>
      </c>
      <c r="E2" s="37">
        <f>B2</f>
        <v>1088.489</v>
      </c>
    </row>
    <row r="3" spans="1:19">
      <c r="A3" s="39">
        <v>44562</v>
      </c>
      <c r="B3" s="37">
        <v>1110.3979999999999</v>
      </c>
      <c r="C3" s="40"/>
      <c r="D3" s="40"/>
      <c r="E3" s="37">
        <f t="shared" ref="E3:E35" si="0">B3</f>
        <v>1110.3979999999999</v>
      </c>
      <c r="F3" s="40"/>
    </row>
    <row r="4" spans="1:19">
      <c r="A4" s="39">
        <v>44593</v>
      </c>
      <c r="B4" s="37">
        <v>1127.077</v>
      </c>
      <c r="C4" s="40"/>
      <c r="D4" s="40"/>
      <c r="E4" s="37">
        <f t="shared" si="0"/>
        <v>1127.077</v>
      </c>
      <c r="F4" s="40"/>
    </row>
    <row r="5" spans="1:19">
      <c r="A5" s="39">
        <v>44621</v>
      </c>
      <c r="B5" s="37">
        <v>1153.777</v>
      </c>
      <c r="C5" s="40"/>
      <c r="D5" s="40"/>
      <c r="E5" s="37">
        <f t="shared" si="0"/>
        <v>1153.777</v>
      </c>
      <c r="F5" s="40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</row>
    <row r="6" spans="1:19">
      <c r="A6" s="39">
        <v>44652</v>
      </c>
      <c r="B6" s="37">
        <v>1158.546</v>
      </c>
      <c r="C6" s="40"/>
      <c r="D6" s="40"/>
      <c r="E6" s="37">
        <f t="shared" si="0"/>
        <v>1158.546</v>
      </c>
      <c r="F6" s="40"/>
    </row>
    <row r="7" spans="1:19">
      <c r="A7" s="39">
        <v>44682</v>
      </c>
      <c r="B7" s="37">
        <v>1166.5419999999999</v>
      </c>
      <c r="C7" s="40"/>
      <c r="D7" s="40"/>
      <c r="E7" s="37">
        <f t="shared" si="0"/>
        <v>1166.5419999999999</v>
      </c>
      <c r="F7" s="40"/>
      <c r="G7" s="21"/>
    </row>
    <row r="8" spans="1:19">
      <c r="A8" s="39">
        <v>44713</v>
      </c>
      <c r="B8" s="37">
        <v>1173.8309999999999</v>
      </c>
      <c r="C8" s="40"/>
      <c r="D8" s="40"/>
      <c r="E8" s="37">
        <f t="shared" si="0"/>
        <v>1173.8309999999999</v>
      </c>
      <c r="F8" s="40"/>
      <c r="G8" s="21"/>
    </row>
    <row r="9" spans="1:19">
      <c r="A9" s="39">
        <v>44743</v>
      </c>
      <c r="B9" s="37">
        <v>1169.4259999999999</v>
      </c>
      <c r="C9" s="22"/>
      <c r="D9" s="22"/>
      <c r="E9" s="37">
        <f t="shared" si="0"/>
        <v>1169.4259999999999</v>
      </c>
      <c r="F9" s="22"/>
      <c r="G9" s="21"/>
    </row>
    <row r="10" spans="1:19">
      <c r="A10" s="39">
        <v>44774</v>
      </c>
      <c r="B10" s="37">
        <v>1162.9559999999999</v>
      </c>
      <c r="C10" s="22"/>
      <c r="D10" s="22"/>
      <c r="E10" s="37">
        <f t="shared" si="0"/>
        <v>1162.9559999999999</v>
      </c>
      <c r="F10" s="22"/>
      <c r="G10" s="21"/>
    </row>
    <row r="11" spans="1:19">
      <c r="A11" s="39">
        <v>44805</v>
      </c>
      <c r="B11" s="37">
        <v>1148.8109999999999</v>
      </c>
      <c r="C11" s="16"/>
      <c r="D11" s="22"/>
      <c r="E11" s="37">
        <f t="shared" si="0"/>
        <v>1148.8109999999999</v>
      </c>
      <c r="F11" s="22"/>
      <c r="G11" s="21"/>
    </row>
    <row r="12" spans="1:19">
      <c r="A12" s="39">
        <v>44835</v>
      </c>
      <c r="B12" s="37">
        <v>1141.7329999999999</v>
      </c>
      <c r="C12" s="22"/>
      <c r="D12" s="22"/>
      <c r="E12" s="37">
        <f t="shared" si="0"/>
        <v>1141.7329999999999</v>
      </c>
      <c r="F12" s="22"/>
      <c r="G12" s="21"/>
      <c r="O12" s="20"/>
    </row>
    <row r="13" spans="1:19">
      <c r="A13" s="39">
        <v>44866</v>
      </c>
      <c r="B13" s="37">
        <v>1139.7339999999999</v>
      </c>
      <c r="C13" s="22"/>
      <c r="D13" s="22"/>
      <c r="E13" s="37">
        <f t="shared" si="0"/>
        <v>1139.7339999999999</v>
      </c>
      <c r="F13" s="22"/>
      <c r="G13" s="21"/>
      <c r="O13" s="20"/>
    </row>
    <row r="14" spans="1:19">
      <c r="A14" s="39">
        <v>44896</v>
      </c>
      <c r="B14" s="37">
        <v>1143.2249999999999</v>
      </c>
      <c r="C14" s="22"/>
      <c r="D14" s="6"/>
      <c r="E14" s="37">
        <f t="shared" si="0"/>
        <v>1143.2249999999999</v>
      </c>
      <c r="F14" s="22"/>
      <c r="H14" s="21"/>
      <c r="I14" s="21"/>
      <c r="O14" s="20"/>
    </row>
    <row r="15" spans="1:19">
      <c r="A15" s="39">
        <v>44927</v>
      </c>
      <c r="B15" s="37">
        <v>1143.8610000000001</v>
      </c>
      <c r="C15" s="41"/>
      <c r="D15" s="41"/>
      <c r="E15" s="37">
        <f t="shared" si="0"/>
        <v>1143.8610000000001</v>
      </c>
      <c r="F15" s="22"/>
      <c r="O15" s="20"/>
    </row>
    <row r="16" spans="1:19">
      <c r="A16" s="39">
        <v>44958</v>
      </c>
      <c r="B16" s="37">
        <v>1144.271</v>
      </c>
      <c r="C16" s="41"/>
      <c r="D16" s="41"/>
      <c r="E16" s="37">
        <f t="shared" si="0"/>
        <v>1144.271</v>
      </c>
      <c r="F16" s="22"/>
      <c r="O16" s="20"/>
    </row>
    <row r="17" spans="1:21">
      <c r="A17" s="39">
        <v>44986</v>
      </c>
      <c r="B17" s="37">
        <v>1140.357</v>
      </c>
      <c r="C17" s="41"/>
      <c r="D17" s="41"/>
      <c r="E17" s="37">
        <f t="shared" si="0"/>
        <v>1140.357</v>
      </c>
      <c r="F17" s="22"/>
      <c r="O17" s="20"/>
    </row>
    <row r="18" spans="1:21">
      <c r="A18" s="39">
        <v>45017</v>
      </c>
      <c r="B18" s="37">
        <v>1128.8050000000001</v>
      </c>
      <c r="C18" s="41"/>
      <c r="D18" s="41"/>
      <c r="E18" s="37">
        <f t="shared" si="0"/>
        <v>1128.8050000000001</v>
      </c>
      <c r="F18" s="22"/>
      <c r="O18" s="20"/>
    </row>
    <row r="19" spans="1:21">
      <c r="A19" s="39">
        <v>45047</v>
      </c>
      <c r="B19" s="37">
        <v>1102.5060000000001</v>
      </c>
      <c r="C19" s="41"/>
      <c r="D19" s="41"/>
      <c r="E19" s="37">
        <f t="shared" si="0"/>
        <v>1102.5060000000001</v>
      </c>
      <c r="F19" s="22"/>
      <c r="O19" s="20"/>
    </row>
    <row r="20" spans="1:21">
      <c r="A20" s="39">
        <v>45078</v>
      </c>
      <c r="B20" s="37">
        <v>1086.4739999999999</v>
      </c>
      <c r="C20" s="41"/>
      <c r="D20" s="41"/>
      <c r="E20" s="37">
        <f t="shared" si="0"/>
        <v>1086.4739999999999</v>
      </c>
      <c r="F20" s="22"/>
      <c r="O20" s="20"/>
    </row>
    <row r="21" spans="1:21">
      <c r="A21" s="39">
        <v>45108</v>
      </c>
      <c r="B21" s="37">
        <v>1082.105</v>
      </c>
      <c r="C21" s="41"/>
      <c r="D21" s="41"/>
      <c r="E21" s="37">
        <f t="shared" si="0"/>
        <v>1082.105</v>
      </c>
      <c r="F21" s="22"/>
      <c r="O21" s="20"/>
    </row>
    <row r="22" spans="1:21">
      <c r="A22" s="39">
        <v>45139</v>
      </c>
      <c r="B22" s="37">
        <v>1082.5930000000001</v>
      </c>
      <c r="C22" s="41"/>
      <c r="D22" s="41"/>
      <c r="E22" s="37">
        <f t="shared" si="0"/>
        <v>1082.5930000000001</v>
      </c>
      <c r="F22" s="22"/>
      <c r="O22" s="20"/>
    </row>
    <row r="23" spans="1:21">
      <c r="A23" s="39">
        <v>45170</v>
      </c>
      <c r="B23" s="37">
        <v>1087.4190000000001</v>
      </c>
      <c r="C23" s="41"/>
      <c r="D23" s="41"/>
      <c r="E23" s="37">
        <f t="shared" si="0"/>
        <v>1087.4190000000001</v>
      </c>
      <c r="F23" s="22"/>
      <c r="J23" s="97"/>
      <c r="K23" s="97"/>
      <c r="L23" s="97"/>
      <c r="M23" s="97"/>
      <c r="N23" s="97"/>
      <c r="O23" s="97"/>
      <c r="P23" s="97"/>
      <c r="Q23" s="98"/>
      <c r="R23" s="98"/>
      <c r="S23" s="98"/>
      <c r="T23" s="99"/>
      <c r="U23" s="100"/>
    </row>
    <row r="24" spans="1:21">
      <c r="A24" s="39">
        <v>45200</v>
      </c>
      <c r="B24" s="37">
        <v>1092.9739999999999</v>
      </c>
      <c r="C24" s="41"/>
      <c r="D24" s="41"/>
      <c r="E24" s="37">
        <f t="shared" si="0"/>
        <v>1092.9739999999999</v>
      </c>
      <c r="F24" s="22"/>
    </row>
    <row r="25" spans="1:21">
      <c r="A25" s="39">
        <v>45231</v>
      </c>
      <c r="B25" s="37">
        <v>1098.48</v>
      </c>
      <c r="C25" s="41"/>
      <c r="D25" s="41"/>
      <c r="E25" s="37">
        <f t="shared" si="0"/>
        <v>1098.48</v>
      </c>
      <c r="F25" s="22"/>
      <c r="H25" s="96"/>
    </row>
    <row r="26" spans="1:21">
      <c r="A26" s="39">
        <v>45261</v>
      </c>
      <c r="B26" s="37">
        <v>1105.5409999999999</v>
      </c>
      <c r="C26" s="41"/>
      <c r="D26" s="6">
        <f>B26/B14-1</f>
        <v>-3.2962890069758721E-2</v>
      </c>
      <c r="E26" s="37">
        <f t="shared" si="0"/>
        <v>1105.5409999999999</v>
      </c>
      <c r="F26" s="22"/>
      <c r="H26" s="21"/>
    </row>
    <row r="27" spans="1:21">
      <c r="A27" s="39">
        <v>45292</v>
      </c>
      <c r="B27" s="37">
        <v>1102.5709999999999</v>
      </c>
      <c r="C27" s="73"/>
      <c r="E27" s="37">
        <f t="shared" si="0"/>
        <v>1102.5709999999999</v>
      </c>
      <c r="F27" s="22"/>
    </row>
    <row r="28" spans="1:21">
      <c r="A28" s="39">
        <v>45323</v>
      </c>
      <c r="B28" s="37">
        <v>1098.095</v>
      </c>
      <c r="C28" s="67"/>
      <c r="E28" s="37">
        <f t="shared" si="0"/>
        <v>1098.095</v>
      </c>
      <c r="F28" s="22"/>
      <c r="I28" s="20"/>
    </row>
    <row r="29" spans="1:21">
      <c r="A29" s="39">
        <v>45352</v>
      </c>
      <c r="B29" s="37">
        <v>1094.7629999999999</v>
      </c>
      <c r="C29" s="67"/>
      <c r="E29" s="37">
        <f t="shared" si="0"/>
        <v>1094.7629999999999</v>
      </c>
      <c r="F29" s="22"/>
    </row>
    <row r="30" spans="1:21">
      <c r="A30" s="39">
        <v>45383</v>
      </c>
      <c r="B30" s="37">
        <v>1102.6600000000001</v>
      </c>
      <c r="C30" s="67"/>
      <c r="E30" s="37">
        <f t="shared" si="0"/>
        <v>1102.6600000000001</v>
      </c>
      <c r="F30" s="22"/>
    </row>
    <row r="31" spans="1:21">
      <c r="A31" s="39">
        <v>45413</v>
      </c>
      <c r="B31" s="37">
        <v>1112.26</v>
      </c>
      <c r="C31" s="67"/>
      <c r="E31" s="37">
        <f t="shared" si="0"/>
        <v>1112.26</v>
      </c>
      <c r="F31" s="22"/>
    </row>
    <row r="32" spans="1:21">
      <c r="A32" s="39">
        <v>45444</v>
      </c>
      <c r="B32" s="37">
        <v>1117.787</v>
      </c>
      <c r="C32" s="67"/>
      <c r="E32" s="37">
        <f t="shared" si="0"/>
        <v>1117.787</v>
      </c>
      <c r="F32" s="22"/>
    </row>
    <row r="33" spans="1:19">
      <c r="A33" s="39">
        <v>45474</v>
      </c>
      <c r="B33" s="37">
        <v>1127.1010000000001</v>
      </c>
      <c r="C33" s="67"/>
      <c r="E33" s="37">
        <f t="shared" si="0"/>
        <v>1127.1010000000001</v>
      </c>
      <c r="F33" s="22"/>
    </row>
    <row r="34" spans="1:19">
      <c r="A34" s="39">
        <v>45505</v>
      </c>
      <c r="B34" s="37">
        <v>1128.4079999999999</v>
      </c>
      <c r="C34" s="67"/>
      <c r="E34" s="37">
        <f t="shared" si="0"/>
        <v>1128.4079999999999</v>
      </c>
      <c r="F34" s="22"/>
      <c r="P34" s="103"/>
    </row>
    <row r="35" spans="1:19">
      <c r="A35" s="39">
        <v>45536</v>
      </c>
      <c r="B35" s="37">
        <v>1139.981</v>
      </c>
      <c r="C35" s="67"/>
      <c r="E35" s="37">
        <f t="shared" si="0"/>
        <v>1139.981</v>
      </c>
      <c r="F35" s="22"/>
    </row>
    <row r="36" spans="1:19">
      <c r="A36" s="39">
        <v>45566</v>
      </c>
      <c r="B36" s="37">
        <v>1157.5160000000001</v>
      </c>
      <c r="C36" s="67"/>
      <c r="E36" s="37">
        <v>1157.5160000000001</v>
      </c>
      <c r="F36" s="22"/>
      <c r="J36" s="43">
        <v>2024</v>
      </c>
      <c r="K36" s="43">
        <v>2025</v>
      </c>
      <c r="L36" s="19">
        <v>2026</v>
      </c>
    </row>
    <row r="37" spans="1:19">
      <c r="A37" s="39">
        <v>45597</v>
      </c>
      <c r="B37" s="37">
        <v>1171.21</v>
      </c>
      <c r="C37" s="67"/>
      <c r="E37" s="37">
        <v>1171.21</v>
      </c>
      <c r="F37" s="22"/>
      <c r="H37" s="96"/>
      <c r="J37" s="104">
        <v>6.6059000000000001</v>
      </c>
      <c r="K37" s="104">
        <v>-0.79</v>
      </c>
      <c r="L37" s="19">
        <v>3.94</v>
      </c>
    </row>
    <row r="38" spans="1:19">
      <c r="A38" s="39">
        <v>45627</v>
      </c>
      <c r="B38" s="37">
        <v>1181.4069999999999</v>
      </c>
      <c r="C38" s="67"/>
      <c r="D38" s="6">
        <f>B38/B26-1</f>
        <v>6.8623416046985186E-2</v>
      </c>
      <c r="E38" s="37">
        <v>1181.4069999999999</v>
      </c>
      <c r="F38" s="22"/>
      <c r="G38" s="105"/>
      <c r="H38" s="101"/>
      <c r="L38" s="19" t="s">
        <v>53</v>
      </c>
      <c r="M38" s="19" t="s">
        <v>54</v>
      </c>
      <c r="O38" s="49">
        <v>1182.693</v>
      </c>
    </row>
    <row r="39" spans="1:19">
      <c r="A39" s="39">
        <v>45658</v>
      </c>
      <c r="B39" s="49">
        <v>1182.693</v>
      </c>
      <c r="C39" s="67">
        <v>0.42849999999999999</v>
      </c>
      <c r="E39" s="23">
        <f>E38*(1+F39%)</f>
        <v>1180.9561837558031</v>
      </c>
      <c r="F39" s="22">
        <f>((((C39/100)+1)*$H$51)-1)*100</f>
        <v>-3.8159266382953305E-2</v>
      </c>
      <c r="H39" s="101"/>
      <c r="L39" s="23">
        <v>1181.4069999999999</v>
      </c>
      <c r="M39" s="67"/>
      <c r="O39" s="49">
        <v>1194.518</v>
      </c>
    </row>
    <row r="40" spans="1:19">
      <c r="A40" s="39">
        <v>45689</v>
      </c>
      <c r="B40" s="49">
        <v>1194.518</v>
      </c>
      <c r="C40" s="67">
        <v>0.5</v>
      </c>
      <c r="E40" s="23">
        <f t="shared" ref="E40:E49" si="1">E39*(1+F40%)</f>
        <v>1181.3459996290658</v>
      </c>
      <c r="F40" s="22">
        <f t="shared" ref="F40:F49" si="2">((((C40/100)+1)*$H$51)-1)*100</f>
        <v>3.3008495880260114E-2</v>
      </c>
      <c r="L40" s="23">
        <f>L39*(1+M40%)</f>
        <v>1186.4693289950001</v>
      </c>
      <c r="M40" s="67">
        <f t="shared" ref="M40:M51" si="3">C39</f>
        <v>0.42849999999999999</v>
      </c>
      <c r="O40" s="49">
        <v>1188.55</v>
      </c>
    </row>
    <row r="41" spans="1:19">
      <c r="A41" s="39">
        <v>45717</v>
      </c>
      <c r="B41" s="49">
        <v>1188.55</v>
      </c>
      <c r="C41" s="67">
        <v>0.49230000000000002</v>
      </c>
      <c r="E41" s="23">
        <f t="shared" si="1"/>
        <v>1181.6454032117981</v>
      </c>
      <c r="F41" s="22">
        <f t="shared" si="2"/>
        <v>2.5344275328853527E-2</v>
      </c>
      <c r="L41" s="23">
        <f t="shared" ref="L41:L51" si="4">L40*(1+M41%)</f>
        <v>1192.4016756399749</v>
      </c>
      <c r="M41" s="67">
        <f t="shared" si="3"/>
        <v>0.5</v>
      </c>
      <c r="O41" s="49">
        <v>1192.079</v>
      </c>
    </row>
    <row r="42" spans="1:19">
      <c r="A42" s="39">
        <v>45748</v>
      </c>
      <c r="B42" s="49">
        <v>1192.079</v>
      </c>
      <c r="C42" s="67">
        <v>0.39</v>
      </c>
      <c r="E42" s="23">
        <f t="shared" si="1"/>
        <v>1180.7416764454949</v>
      </c>
      <c r="F42" s="22">
        <f t="shared" si="2"/>
        <v>-7.6480369140086157E-2</v>
      </c>
      <c r="L42" s="23">
        <f t="shared" si="4"/>
        <v>1198.2718690891504</v>
      </c>
      <c r="M42" s="67">
        <f t="shared" si="3"/>
        <v>0.49230000000000002</v>
      </c>
      <c r="O42" s="49">
        <v>1181.9449999999999</v>
      </c>
    </row>
    <row r="43" spans="1:19">
      <c r="A43" s="39">
        <v>45778</v>
      </c>
      <c r="B43" s="49">
        <v>1181.9449999999999</v>
      </c>
      <c r="C43" s="67">
        <v>0.31</v>
      </c>
      <c r="E43" s="23">
        <f t="shared" si="1"/>
        <v>1178.8984367361313</v>
      </c>
      <c r="F43" s="22">
        <f t="shared" si="2"/>
        <v>-0.15610863460943092</v>
      </c>
      <c r="L43" s="23">
        <f t="shared" si="4"/>
        <v>1202.945129378598</v>
      </c>
      <c r="M43" s="67">
        <f t="shared" si="3"/>
        <v>0.39</v>
      </c>
      <c r="O43" s="49">
        <v>1160.6130000000001</v>
      </c>
    </row>
    <row r="44" spans="1:19">
      <c r="A44" s="39">
        <v>45809</v>
      </c>
      <c r="B44" s="49">
        <v>1160.6130000000001</v>
      </c>
      <c r="C44" s="67">
        <v>0.33</v>
      </c>
      <c r="E44" s="23">
        <f t="shared" si="1"/>
        <v>1177.292758577315</v>
      </c>
      <c r="F44" s="22">
        <f t="shared" si="2"/>
        <v>-0.13620156824210028</v>
      </c>
      <c r="L44" s="23">
        <f t="shared" si="4"/>
        <v>1206.6742592796718</v>
      </c>
      <c r="M44" s="67">
        <f t="shared" si="3"/>
        <v>0.31</v>
      </c>
      <c r="O44" s="49">
        <v>1159.8510000000001</v>
      </c>
    </row>
    <row r="45" spans="1:19">
      <c r="A45" s="39">
        <v>45839</v>
      </c>
      <c r="B45" s="49">
        <v>1159.8510000000001</v>
      </c>
      <c r="C45" s="67">
        <v>0.27</v>
      </c>
      <c r="E45" s="23">
        <f t="shared" si="1"/>
        <v>1174.9861740249682</v>
      </c>
      <c r="F45" s="22">
        <f t="shared" si="2"/>
        <v>-0.19592276734413661</v>
      </c>
      <c r="G45" s="69"/>
      <c r="H45" s="91"/>
      <c r="I45" s="91"/>
      <c r="J45" s="91"/>
      <c r="K45" s="91"/>
      <c r="L45" s="23">
        <f t="shared" si="4"/>
        <v>1210.6562843352949</v>
      </c>
      <c r="M45" s="67">
        <f t="shared" si="3"/>
        <v>0.33</v>
      </c>
      <c r="N45" s="91"/>
      <c r="O45" s="49">
        <v>1162.2190000000001</v>
      </c>
      <c r="P45" s="91"/>
      <c r="Q45" s="91"/>
      <c r="R45" s="91"/>
      <c r="S45" s="91"/>
    </row>
    <row r="46" spans="1:19">
      <c r="A46" s="39">
        <v>45870</v>
      </c>
      <c r="B46" s="49">
        <v>1162.2190000000001</v>
      </c>
      <c r="C46" s="67">
        <v>0.31</v>
      </c>
      <c r="E46" s="23">
        <f t="shared" si="1"/>
        <v>1173.1519191518482</v>
      </c>
      <c r="F46" s="22">
        <f t="shared" si="2"/>
        <v>-0.15610863460943092</v>
      </c>
      <c r="L46" s="23">
        <f t="shared" si="4"/>
        <v>1213.925056303</v>
      </c>
      <c r="M46" s="67">
        <f t="shared" si="3"/>
        <v>0.27</v>
      </c>
      <c r="O46" s="49">
        <v>1166.3489999999999</v>
      </c>
    </row>
    <row r="47" spans="1:19">
      <c r="A47" s="39">
        <v>45901</v>
      </c>
      <c r="B47" s="49">
        <v>1166.3489999999999</v>
      </c>
      <c r="C47" s="67">
        <v>0.42499999999999999</v>
      </c>
      <c r="E47" s="23">
        <f t="shared" si="1"/>
        <v>1172.6633834629936</v>
      </c>
      <c r="F47" s="22">
        <f t="shared" si="2"/>
        <v>-4.164300299723811E-2</v>
      </c>
      <c r="L47" s="23">
        <f t="shared" si="4"/>
        <v>1217.6882239775393</v>
      </c>
      <c r="M47" s="67">
        <f t="shared" si="3"/>
        <v>0.31</v>
      </c>
      <c r="O47" s="49">
        <v>1165.98</v>
      </c>
    </row>
    <row r="48" spans="1:19">
      <c r="A48" s="39">
        <v>45931</v>
      </c>
      <c r="B48" s="49">
        <v>1165.98</v>
      </c>
      <c r="C48" s="67">
        <v>0.46</v>
      </c>
      <c r="E48" s="23">
        <f t="shared" si="1"/>
        <v>1172.5835762515906</v>
      </c>
      <c r="F48" s="22">
        <f t="shared" si="2"/>
        <v>-6.8056368544011647E-3</v>
      </c>
      <c r="L48" s="23">
        <f t="shared" si="4"/>
        <v>1222.863398929444</v>
      </c>
      <c r="M48" s="67">
        <f t="shared" si="3"/>
        <v>0.42499999999999999</v>
      </c>
      <c r="O48" s="49">
        <v>1165.0719999999999</v>
      </c>
      <c r="P48" s="6">
        <f>O48/E37-1</f>
        <v>-5.2407339418210075E-3</v>
      </c>
    </row>
    <row r="49" spans="1:13">
      <c r="A49" s="39">
        <v>45962</v>
      </c>
      <c r="B49" s="49">
        <v>1165.0719999999999</v>
      </c>
      <c r="C49" s="67">
        <v>0.45</v>
      </c>
      <c r="E49" s="23">
        <f t="shared" si="1"/>
        <v>1172.387060976208</v>
      </c>
      <c r="F49" s="22">
        <f t="shared" si="2"/>
        <v>-1.6759170038072035E-2</v>
      </c>
      <c r="H49" s="96"/>
      <c r="L49" s="23">
        <f t="shared" si="4"/>
        <v>1228.4885705645193</v>
      </c>
      <c r="M49" s="67">
        <f t="shared" si="3"/>
        <v>0.46</v>
      </c>
    </row>
    <row r="50" spans="1:13">
      <c r="A50" s="39">
        <v>45992</v>
      </c>
      <c r="B50" s="23">
        <f>G50</f>
        <v>1172.0738847</v>
      </c>
      <c r="C50" s="67">
        <v>0.44</v>
      </c>
      <c r="D50" s="6">
        <f>B50/B38-1</f>
        <v>-7.8999999999999071E-3</v>
      </c>
      <c r="E50" s="23">
        <f>E49*(1+F50%)</f>
        <v>1172.0738846999993</v>
      </c>
      <c r="F50" s="22">
        <f>((((C50/100)+1)*$H$51)-1)*100</f>
        <v>-2.6712703221742906E-2</v>
      </c>
      <c r="G50" s="92">
        <f>E38*(1+K37%)</f>
        <v>1172.0738847</v>
      </c>
      <c r="H50" s="101">
        <f>G50/L51</f>
        <v>0.94564302588361737</v>
      </c>
      <c r="L50" s="23">
        <f t="shared" si="4"/>
        <v>1234.0167691320596</v>
      </c>
      <c r="M50" s="67">
        <f t="shared" si="3"/>
        <v>0.45</v>
      </c>
    </row>
    <row r="51" spans="1:13">
      <c r="A51" s="39">
        <v>46023</v>
      </c>
      <c r="B51" s="19">
        <f>B50*(1+($G$62/$B$50)^(1/12)-1)</f>
        <v>1175.8544004692951</v>
      </c>
      <c r="H51" s="101">
        <f>H50^(1/12)</f>
        <v>0.99535331836696794</v>
      </c>
      <c r="L51" s="23">
        <f t="shared" si="4"/>
        <v>1239.4464429162406</v>
      </c>
      <c r="M51" s="67">
        <f t="shared" si="3"/>
        <v>0.44</v>
      </c>
    </row>
    <row r="52" spans="1:13">
      <c r="A52" s="39">
        <v>46054</v>
      </c>
      <c r="B52" s="19">
        <f t="shared" ref="B52:B62" si="5">B51*(1+($G$62/$B$50)^(1/12)-1)</f>
        <v>1179.6471102646397</v>
      </c>
    </row>
    <row r="53" spans="1:13">
      <c r="A53" s="39">
        <v>46082</v>
      </c>
      <c r="B53" s="19">
        <f t="shared" si="5"/>
        <v>1183.4520534177757</v>
      </c>
    </row>
    <row r="54" spans="1:13">
      <c r="A54" s="39">
        <v>46113</v>
      </c>
      <c r="B54" s="19">
        <f t="shared" si="5"/>
        <v>1187.2692693873096</v>
      </c>
    </row>
    <row r="55" spans="1:13">
      <c r="A55" s="39">
        <v>46143</v>
      </c>
      <c r="B55" s="19">
        <f t="shared" si="5"/>
        <v>1191.0987977591212</v>
      </c>
    </row>
    <row r="56" spans="1:13">
      <c r="A56" s="39">
        <v>46174</v>
      </c>
      <c r="B56" s="19">
        <f t="shared" si="5"/>
        <v>1194.9406782467743</v>
      </c>
    </row>
    <row r="57" spans="1:13">
      <c r="A57" s="39">
        <v>46204</v>
      </c>
      <c r="B57" s="19">
        <f t="shared" si="5"/>
        <v>1198.7949506919285</v>
      </c>
    </row>
    <row r="58" spans="1:13">
      <c r="A58" s="39">
        <v>46235</v>
      </c>
      <c r="B58" s="19">
        <f t="shared" si="5"/>
        <v>1202.6616550647525</v>
      </c>
    </row>
    <row r="59" spans="1:13">
      <c r="A59" s="39">
        <v>46266</v>
      </c>
      <c r="B59" s="19">
        <f t="shared" si="5"/>
        <v>1206.540831464338</v>
      </c>
    </row>
    <row r="60" spans="1:13">
      <c r="A60" s="39">
        <v>46296</v>
      </c>
      <c r="B60" s="19">
        <f t="shared" si="5"/>
        <v>1210.4325201191166</v>
      </c>
    </row>
    <row r="61" spans="1:13">
      <c r="A61" s="39">
        <v>46327</v>
      </c>
      <c r="B61" s="19">
        <f t="shared" si="5"/>
        <v>1214.3367613872763</v>
      </c>
    </row>
    <row r="62" spans="1:13">
      <c r="A62" s="39">
        <v>46357</v>
      </c>
      <c r="B62" s="19">
        <f t="shared" si="5"/>
        <v>1218.2535957571797</v>
      </c>
      <c r="G62" s="19">
        <f>G50*(1+L37%)</f>
        <v>1218.2535957571802</v>
      </c>
    </row>
  </sheetData>
  <phoneticPr fontId="6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392C-DEEA-4ABA-8675-D058CCE1273C}">
  <dimension ref="A1:B17"/>
  <sheetViews>
    <sheetView workbookViewId="0">
      <selection activeCell="K9" sqref="K9"/>
    </sheetView>
  </sheetViews>
  <sheetFormatPr defaultColWidth="9.140625" defaultRowHeight="12.75"/>
  <cols>
    <col min="1" max="1" width="9.140625" style="1"/>
    <col min="2" max="2" width="26.42578125" style="1" customWidth="1"/>
    <col min="3" max="16384" width="9.140625" style="1"/>
  </cols>
  <sheetData>
    <row r="1" spans="1:2">
      <c r="A1" s="1" t="s">
        <v>20</v>
      </c>
    </row>
    <row r="2" spans="1:2" ht="6" customHeight="1"/>
    <row r="3" spans="1:2">
      <c r="B3" s="1" t="s">
        <v>35</v>
      </c>
    </row>
    <row r="5" spans="1:2">
      <c r="A5" s="1" t="s">
        <v>21</v>
      </c>
    </row>
    <row r="6" spans="1:2" ht="7.5" customHeight="1"/>
    <row r="7" spans="1:2">
      <c r="B7" s="1" t="s">
        <v>22</v>
      </c>
    </row>
    <row r="8" spans="1:2">
      <c r="B8" s="1" t="s">
        <v>23</v>
      </c>
    </row>
    <row r="9" spans="1:2">
      <c r="B9" s="1" t="s">
        <v>24</v>
      </c>
    </row>
    <row r="10" spans="1:2">
      <c r="B10" s="1" t="s">
        <v>25</v>
      </c>
    </row>
    <row r="11" spans="1:2">
      <c r="B11" s="1" t="s">
        <v>26</v>
      </c>
    </row>
    <row r="13" spans="1:2">
      <c r="A13" s="1" t="s">
        <v>36</v>
      </c>
    </row>
    <row r="15" spans="1:2">
      <c r="B15" s="1" t="s">
        <v>37</v>
      </c>
    </row>
    <row r="16" spans="1:2">
      <c r="B16" s="1" t="s">
        <v>23</v>
      </c>
    </row>
    <row r="17" spans="2:2">
      <c r="B17" s="1" t="s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PIB</vt:lpstr>
      <vt:lpstr>IGP-DI</vt:lpstr>
      <vt:lpstr>Procedimentos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Silva</dc:creator>
  <cp:lastModifiedBy>Bruno Lopau Zulian</cp:lastModifiedBy>
  <dcterms:created xsi:type="dcterms:W3CDTF">2020-07-06T09:47:05Z</dcterms:created>
  <dcterms:modified xsi:type="dcterms:W3CDTF">2026-01-06T13:05:14Z</dcterms:modified>
</cp:coreProperties>
</file>